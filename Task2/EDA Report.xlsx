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90B86EF04E489D/Documents/"/>
    </mc:Choice>
  </mc:AlternateContent>
  <xr:revisionPtr revIDLastSave="58" documentId="8_{C7B54E5C-01ED-409C-9CAD-1A2A7A5EC7EE}" xr6:coauthVersionLast="47" xr6:coauthVersionMax="47" xr10:uidLastSave="{F431C60F-9272-42D7-98DA-F0A9E94ED690}"/>
  <bookViews>
    <workbookView xWindow="-108" yWindow="-108" windowWidth="23256" windowHeight="12456" xr2:uid="{00000000-000D-0000-FFFF-FFFF00000000}"/>
  </bookViews>
  <sheets>
    <sheet name="Sheet1" sheetId="1" r:id="rId1"/>
    <sheet name="EDA_Report" sheetId="2" r:id="rId2"/>
    <sheet name="Count Of Product" sheetId="3" r:id="rId3"/>
    <sheet name="Sum Of Total Price" sheetId="5" r:id="rId4"/>
    <sheet name="Sum Of Quantity" sheetId="7" r:id="rId5"/>
  </sheets>
  <calcPr calcId="191029"/>
  <pivotCaches>
    <pivotCache cacheId="3" r:id="rId6"/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4" i="2"/>
  <c r="B3" i="2"/>
  <c r="B2" i="2"/>
</calcChain>
</file>

<file path=xl/sharedStrings.xml><?xml version="1.0" encoding="utf-8"?>
<sst xmlns="http://schemas.openxmlformats.org/spreadsheetml/2006/main" count="10542" uniqueCount="4295">
  <si>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</si>
  <si>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</si>
  <si>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</si>
  <si>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</si>
  <si>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</si>
  <si>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</si>
  <si>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</si>
  <si>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</si>
  <si>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</si>
  <si>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</si>
  <si>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</si>
  <si>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</si>
  <si>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</si>
  <si>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</si>
  <si>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</si>
  <si>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</si>
  <si>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</si>
  <si>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</si>
  <si>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</si>
  <si>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</si>
  <si>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</si>
  <si>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</si>
  <si>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</si>
  <si>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</si>
  <si>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</si>
  <si>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</si>
  <si>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</si>
  <si>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</si>
  <si>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</si>
  <si>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</si>
  <si>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</si>
  <si>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</si>
  <si>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</si>
  <si>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</si>
  <si>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</si>
  <si>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</si>
  <si>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</si>
  <si>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</si>
  <si>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</si>
  <si>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</si>
  <si>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</si>
  <si>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</si>
  <si>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</si>
  <si>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</si>
  <si>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</si>
  <si>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</si>
  <si>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</si>
  <si>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</si>
  <si>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</si>
  <si>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</si>
  <si>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</si>
  <si>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</si>
  <si>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</si>
  <si>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</si>
  <si>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</si>
  <si>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</si>
  <si>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</si>
  <si>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</si>
  <si>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</si>
  <si>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</si>
  <si>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</si>
  <si>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</si>
  <si>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</si>
  <si>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</si>
  <si>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</si>
  <si>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</si>
  <si>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</si>
  <si>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</si>
  <si>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</si>
  <si>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</si>
  <si>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</si>
  <si>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</si>
  <si>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</si>
  <si>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</si>
  <si>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</si>
  <si>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</si>
  <si>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</si>
  <si>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</si>
  <si>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</si>
  <si>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</si>
  <si>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</si>
  <si>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</si>
  <si>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</si>
  <si>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</si>
  <si>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</si>
  <si>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</si>
  <si>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</si>
  <si>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</si>
  <si>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</si>
  <si>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</si>
  <si>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</si>
  <si>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</si>
  <si>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</si>
  <si>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</si>
  <si>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</si>
  <si>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</si>
  <si>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</si>
  <si>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</si>
  <si>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</si>
  <si>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</si>
  <si>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</si>
  <si>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</si>
  <si>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</si>
  <si>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</si>
  <si>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</si>
  <si>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</si>
  <si>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</si>
  <si>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</si>
  <si>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</si>
  <si>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</si>
  <si>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</si>
  <si>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</si>
  <si>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</si>
  <si>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</si>
  <si>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</si>
  <si>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</si>
  <si>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</si>
  <si>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</si>
  <si>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</si>
  <si>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</si>
  <si>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</si>
  <si>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</si>
  <si>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</si>
  <si>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</si>
  <si>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</si>
  <si>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</si>
  <si>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</si>
  <si>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</si>
  <si>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</si>
  <si>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</si>
  <si>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</si>
  <si>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</si>
  <si>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</si>
  <si>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</si>
  <si>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</si>
  <si>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</si>
  <si>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</si>
  <si>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</si>
  <si>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</si>
  <si>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</si>
  <si>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</si>
  <si>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</si>
  <si>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</si>
  <si>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</si>
  <si>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</si>
  <si>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</si>
  <si>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</si>
  <si>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</si>
  <si>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</si>
  <si>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</si>
  <si>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</si>
  <si>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</si>
  <si>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</si>
  <si>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</si>
  <si>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</si>
  <si>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</si>
  <si>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</si>
  <si>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</si>
  <si>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</si>
  <si>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</si>
  <si>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</si>
  <si>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</si>
  <si>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</si>
  <si>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</si>
  <si>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</si>
  <si>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</si>
  <si>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</si>
  <si>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</si>
  <si>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</si>
  <si>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</si>
  <si>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</si>
  <si>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</si>
  <si>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</si>
  <si>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</si>
  <si>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</si>
  <si>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</si>
  <si>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</si>
  <si>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</si>
  <si>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</si>
  <si>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</si>
  <si>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</si>
  <si>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</si>
  <si>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</si>
  <si>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</si>
  <si>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</si>
  <si>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</si>
  <si>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</si>
  <si>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</si>
  <si>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</si>
  <si>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</si>
  <si>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</si>
  <si>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</si>
  <si>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</si>
  <si>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</si>
  <si>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</si>
  <si>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</si>
  <si>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</si>
  <si>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</si>
  <si>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</si>
  <si>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</si>
  <si>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</si>
  <si>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</si>
  <si>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</si>
  <si>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</si>
  <si>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</si>
  <si>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</si>
  <si>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</si>
  <si>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</si>
  <si>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</si>
  <si>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</si>
  <si>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</si>
  <si>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</si>
  <si>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</si>
  <si>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</si>
  <si>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</si>
  <si>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</si>
  <si>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</si>
  <si>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</si>
  <si>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</si>
  <si>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</si>
  <si>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</si>
  <si>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</si>
  <si>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</si>
  <si>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</si>
  <si>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</si>
  <si>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</si>
  <si>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</si>
  <si>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</si>
  <si>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</si>
  <si>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</si>
  <si>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</si>
  <si>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</si>
  <si>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</si>
  <si>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</si>
  <si>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</si>
  <si>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</si>
  <si>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</si>
  <si>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</si>
  <si>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</si>
  <si>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</si>
  <si>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</si>
  <si>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</si>
  <si>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</si>
  <si>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</si>
  <si>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</si>
  <si>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</si>
  <si>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</si>
  <si>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</si>
  <si>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</si>
  <si>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</si>
  <si>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</si>
  <si>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</si>
  <si>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</si>
  <si>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</si>
  <si>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</si>
  <si>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</si>
  <si>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</si>
  <si>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</si>
  <si>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</si>
  <si>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</si>
  <si>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</si>
  <si>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</si>
  <si>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</si>
  <si>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</si>
  <si>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</si>
  <si>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</si>
  <si>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</si>
  <si>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</si>
  <si>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</si>
  <si>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</si>
  <si>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</si>
  <si>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</si>
  <si>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</si>
  <si>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</si>
  <si>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</si>
  <si>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</si>
  <si>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</si>
  <si>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</si>
  <si>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</si>
  <si>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</si>
  <si>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</si>
  <si>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</si>
  <si>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</si>
  <si>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</si>
  <si>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</si>
  <si>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</si>
  <si>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</si>
  <si>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</si>
  <si>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</si>
  <si>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</si>
  <si>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</si>
  <si>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</si>
  <si>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</si>
  <si>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</si>
  <si>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</si>
  <si>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</si>
  <si>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</si>
  <si>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</si>
  <si>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</si>
  <si>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</si>
  <si>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</si>
  <si>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</si>
  <si>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</si>
  <si>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</si>
  <si>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</si>
  <si>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</si>
  <si>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</si>
  <si>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</si>
  <si>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</si>
  <si>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</si>
  <si>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</si>
  <si>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</si>
  <si>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</si>
  <si>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</si>
  <si>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</si>
  <si>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</si>
  <si>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</si>
  <si>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</si>
  <si>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</si>
  <si>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</si>
  <si>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</si>
  <si>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</si>
  <si>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</si>
  <si>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</si>
  <si>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</si>
  <si>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</si>
  <si>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</si>
  <si>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</si>
  <si>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</si>
  <si>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</si>
  <si>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</si>
  <si>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</si>
  <si>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</si>
  <si>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</si>
  <si>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</si>
  <si>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</si>
  <si>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</si>
  <si>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</si>
  <si>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</si>
  <si>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</si>
  <si>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</si>
  <si>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</si>
  <si>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</si>
  <si>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</si>
  <si>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</si>
  <si>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</si>
  <si>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</si>
  <si>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</si>
  <si>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</si>
  <si>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</si>
  <si>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</si>
  <si>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</si>
  <si>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</si>
  <si>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</si>
  <si>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</si>
  <si>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</si>
  <si>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</si>
  <si>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</si>
  <si>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</si>
  <si>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</si>
  <si>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</si>
  <si>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</si>
  <si>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</si>
  <si>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</si>
  <si>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</si>
  <si>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</si>
  <si>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</si>
  <si>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</si>
  <si>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</si>
  <si>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</si>
  <si>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</si>
  <si>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</si>
  <si>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</si>
  <si>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</si>
  <si>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</si>
  <si>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</si>
  <si>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</si>
  <si>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</si>
  <si>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</si>
  <si>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</si>
  <si>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</si>
  <si>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</si>
  <si>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</si>
  <si>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</si>
  <si>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</si>
  <si>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</si>
  <si>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</si>
  <si>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</si>
  <si>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</si>
  <si>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</si>
  <si>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</si>
  <si>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</si>
  <si>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</si>
  <si>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</si>
  <si>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</si>
  <si>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</si>
  <si>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</si>
  <si>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</si>
  <si>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</si>
  <si>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</si>
  <si>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</si>
  <si>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</si>
  <si>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</si>
  <si>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</si>
  <si>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</si>
  <si>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</si>
  <si>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</si>
  <si>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</si>
  <si>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</si>
  <si>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</si>
  <si>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</si>
  <si>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</si>
  <si>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</si>
  <si>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</si>
  <si>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</si>
  <si>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</si>
  <si>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</si>
  <si>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</si>
  <si>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</si>
  <si>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</si>
  <si>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</si>
  <si>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</si>
  <si>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</si>
  <si>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</si>
  <si>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</si>
  <si>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</si>
  <si>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</si>
  <si>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</si>
  <si>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</si>
  <si>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</si>
  <si>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</si>
  <si>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</si>
  <si>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</si>
  <si>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</si>
  <si>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</si>
  <si>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</si>
  <si>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</si>
  <si>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</si>
  <si>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</si>
  <si>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</si>
  <si>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</si>
  <si>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</si>
  <si>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</si>
  <si>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</si>
  <si>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</si>
  <si>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</si>
  <si>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</si>
  <si>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</si>
  <si>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</si>
  <si>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</si>
  <si>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</si>
  <si>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</si>
  <si>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</si>
  <si>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</si>
  <si>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</si>
  <si>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</si>
  <si>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</si>
  <si>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</si>
  <si>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</si>
  <si>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</si>
  <si>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</si>
  <si>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</si>
  <si>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</si>
  <si>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</si>
  <si>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</si>
  <si>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</si>
  <si>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</si>
  <si>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</si>
  <si>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</si>
  <si>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</si>
  <si>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</si>
  <si>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</si>
  <si>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</si>
  <si>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</si>
  <si>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</si>
  <si>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</si>
  <si>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</si>
  <si>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</si>
  <si>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</si>
  <si>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</si>
  <si>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</si>
  <si>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</si>
  <si>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</si>
  <si>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</si>
  <si>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</si>
  <si>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</si>
  <si>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</si>
  <si>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</si>
  <si>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</si>
  <si>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</si>
  <si>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</si>
  <si>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</si>
  <si>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</si>
  <si>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</si>
  <si>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</si>
  <si>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</si>
  <si>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</si>
  <si>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</si>
  <si>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</si>
  <si>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</si>
  <si>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</si>
  <si>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</si>
  <si>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</si>
  <si>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</si>
  <si>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</si>
  <si>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</si>
  <si>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</si>
  <si>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</si>
  <si>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</si>
  <si>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</si>
  <si>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</si>
  <si>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</si>
  <si>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</si>
  <si>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</si>
  <si>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</si>
  <si>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</si>
  <si>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</si>
  <si>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</si>
  <si>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</si>
  <si>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</si>
  <si>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</si>
  <si>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</si>
  <si>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</si>
  <si>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</si>
  <si>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</si>
  <si>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</si>
  <si>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</si>
  <si>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</si>
  <si>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</si>
  <si>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</si>
  <si>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</si>
  <si>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</si>
  <si>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</si>
  <si>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</si>
  <si>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</si>
  <si>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</si>
  <si>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</si>
  <si>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</si>
  <si>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</si>
  <si>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</si>
  <si>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</si>
  <si>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</si>
  <si>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</si>
  <si>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</si>
  <si>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</si>
  <si>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</si>
  <si>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</si>
  <si>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</si>
  <si>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</si>
  <si>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</si>
  <si>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</si>
  <si>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</si>
  <si>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</si>
  <si>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</si>
  <si>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</si>
  <si>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</si>
  <si>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</si>
  <si>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</si>
  <si>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</si>
  <si>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</si>
  <si>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</si>
  <si>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</si>
  <si>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</si>
  <si>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</si>
  <si>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</si>
  <si>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</si>
  <si>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</si>
  <si>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</si>
  <si>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</si>
  <si>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</si>
  <si>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</si>
  <si>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</si>
  <si>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</si>
  <si>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</si>
  <si>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</si>
  <si>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</si>
  <si>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</si>
  <si>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</si>
  <si>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</si>
  <si>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</si>
  <si>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</si>
  <si>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</si>
  <si>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</si>
  <si>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</si>
  <si>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</si>
  <si>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</si>
  <si>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</si>
  <si>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</si>
  <si>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</si>
  <si>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</si>
  <si>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</si>
  <si>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</si>
  <si>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</si>
  <si>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</si>
  <si>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</si>
  <si>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</si>
  <si>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</si>
  <si>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</si>
  <si>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</si>
  <si>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</si>
  <si>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</si>
  <si>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</si>
  <si>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</si>
  <si>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</si>
  <si>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</si>
  <si>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</si>
  <si>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</si>
  <si>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</si>
  <si>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</si>
  <si>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</si>
  <si>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</si>
  <si>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</si>
  <si>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</si>
  <si>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</si>
  <si>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</si>
  <si>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</si>
  <si>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</si>
  <si>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</si>
  <si>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</si>
  <si>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</si>
  <si>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</si>
  <si>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</si>
  <si>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</si>
  <si>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</si>
  <si>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</si>
  <si>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</si>
  <si>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</si>
  <si>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</si>
  <si>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</si>
  <si>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</si>
  <si>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</si>
  <si>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</si>
  <si>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</si>
  <si>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</si>
  <si>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</si>
  <si>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</si>
  <si>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</si>
  <si>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</si>
  <si>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</si>
  <si>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</si>
  <si>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</si>
  <si>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</si>
  <si>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</si>
  <si>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</si>
  <si>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</si>
  <si>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</si>
  <si>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</si>
  <si>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</si>
  <si>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</si>
  <si>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</si>
  <si>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</si>
  <si>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</si>
  <si>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</si>
  <si>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</si>
  <si>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</si>
  <si>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</si>
  <si>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</si>
  <si>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</si>
  <si>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</si>
  <si>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</si>
  <si>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</si>
  <si>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</si>
  <si>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</si>
  <si>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</si>
  <si>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</si>
  <si>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</si>
  <si>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</si>
  <si>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</si>
  <si>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</si>
  <si>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</si>
  <si>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</si>
  <si>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</si>
  <si>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</si>
  <si>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</si>
  <si>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</si>
  <si>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</si>
  <si>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</si>
  <si>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</si>
  <si>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</si>
  <si>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</si>
  <si>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</si>
  <si>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</si>
  <si>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</si>
  <si>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</si>
  <si>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</si>
  <si>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</si>
  <si>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</si>
  <si>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</si>
  <si>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</si>
  <si>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</si>
  <si>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</si>
  <si>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</si>
  <si>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</si>
  <si>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</si>
  <si>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</si>
  <si>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</si>
  <si>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</si>
  <si>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</si>
  <si>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</si>
  <si>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</si>
  <si>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</si>
  <si>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</si>
  <si>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</si>
  <si>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</si>
  <si>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</si>
  <si>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</si>
  <si>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</si>
  <si>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</si>
  <si>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</si>
  <si>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</si>
  <si>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</si>
  <si>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</si>
  <si>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</si>
  <si>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</si>
  <si>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</si>
  <si>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</si>
  <si>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</si>
  <si>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</si>
  <si>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</si>
  <si>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</si>
  <si>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</si>
  <si>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</si>
  <si>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</si>
  <si>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</si>
  <si>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</si>
  <si>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</si>
  <si>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</si>
  <si>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</si>
  <si>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</si>
  <si>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</si>
  <si>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</si>
  <si>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</si>
  <si>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</si>
  <si>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</si>
  <si>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</si>
  <si>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</si>
  <si>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</si>
  <si>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</si>
  <si>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</si>
  <si>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</si>
  <si>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</si>
  <si>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</si>
  <si>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</si>
  <si>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</si>
  <si>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</si>
  <si>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</si>
  <si>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</si>
  <si>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</si>
  <si>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</si>
  <si>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</si>
  <si>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</si>
  <si>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</si>
  <si>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</si>
  <si>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</si>
  <si>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</si>
  <si>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</si>
  <si>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</si>
  <si>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</si>
  <si>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</si>
  <si>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</si>
  <si>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</si>
  <si>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</si>
  <si>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</si>
  <si>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</si>
  <si>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</si>
  <si>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</si>
  <si>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</si>
  <si>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</si>
  <si>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</si>
  <si>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</si>
  <si>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</si>
  <si>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</si>
  <si>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</si>
  <si>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</si>
  <si>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</si>
  <si>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</si>
  <si>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</si>
  <si>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</si>
  <si>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</si>
  <si>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</si>
  <si>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</si>
  <si>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</si>
  <si>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</si>
  <si>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</si>
  <si>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</si>
  <si>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</si>
  <si>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</si>
  <si>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</si>
  <si>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</si>
  <si>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</si>
  <si>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</si>
  <si>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</si>
  <si>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</si>
  <si>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</si>
  <si>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</si>
  <si>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</si>
  <si>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</si>
  <si>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</si>
  <si>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</si>
  <si>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</si>
  <si>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</si>
  <si>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</si>
  <si>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</si>
  <si>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</si>
  <si>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</si>
  <si>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</si>
  <si>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</si>
  <si>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</si>
  <si>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</si>
  <si>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</si>
  <si>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</si>
  <si>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</si>
  <si>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</si>
  <si>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</si>
  <si>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</si>
  <si>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</si>
  <si>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</si>
  <si>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</si>
  <si>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</si>
  <si>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</si>
  <si>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</si>
  <si>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</si>
  <si>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</si>
  <si>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</si>
  <si>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</si>
  <si>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</si>
  <si>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</si>
  <si>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</si>
  <si>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</si>
  <si>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</si>
  <si>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</si>
  <si>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</si>
  <si>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</si>
  <si>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</si>
  <si>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</si>
  <si>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</si>
  <si>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</si>
  <si>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</si>
  <si>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</si>
  <si>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</si>
  <si>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</si>
  <si>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</si>
  <si>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</si>
  <si>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</si>
  <si>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</si>
  <si>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</si>
  <si>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</si>
  <si>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</si>
  <si>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</si>
  <si>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</si>
  <si>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</si>
  <si>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</si>
  <si>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</si>
  <si>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</si>
  <si>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</si>
  <si>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</si>
  <si>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</si>
  <si>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</si>
  <si>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</si>
  <si>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</si>
  <si>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</si>
  <si>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</si>
  <si>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</si>
  <si>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</si>
  <si>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</si>
  <si>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</si>
  <si>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</si>
  <si>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</si>
  <si>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</si>
  <si>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</si>
  <si>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</si>
  <si>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</si>
  <si>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</si>
  <si>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</si>
  <si>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</si>
  <si>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</si>
  <si>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</si>
  <si>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</si>
  <si>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</si>
  <si>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</si>
  <si>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</si>
  <si>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</si>
  <si>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</si>
  <si>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</si>
  <si>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</si>
  <si>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</si>
  <si>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</si>
  <si>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</si>
  <si>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</si>
  <si>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</si>
  <si>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</si>
  <si>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</si>
  <si>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</si>
  <si>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</si>
  <si>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</si>
  <si>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</si>
  <si>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</si>
  <si>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</si>
  <si>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</si>
  <si>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</si>
  <si>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</si>
  <si>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</si>
  <si>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</si>
  <si>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</si>
  <si>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</si>
  <si>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</si>
  <si>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</si>
  <si>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</si>
  <si>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</si>
  <si>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</si>
  <si>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</si>
  <si>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</si>
  <si>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</si>
  <si>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</si>
  <si>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</si>
  <si>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</si>
  <si>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</si>
  <si>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</si>
  <si>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</si>
  <si>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</si>
  <si>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</si>
  <si>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</si>
  <si>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</si>
  <si>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</si>
  <si>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</si>
  <si>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</si>
  <si>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</si>
  <si>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</si>
  <si>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</si>
  <si>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</si>
  <si>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</si>
  <si>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</si>
  <si>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</si>
  <si>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</si>
  <si>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</si>
  <si>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</si>
  <si>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</si>
  <si>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</si>
  <si>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</si>
  <si>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</si>
  <si>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</si>
  <si>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</si>
  <si>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</si>
  <si>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</si>
  <si>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</si>
  <si>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</si>
  <si>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</si>
  <si>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</si>
  <si>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</si>
  <si>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</si>
  <si>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</si>
  <si>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</si>
  <si>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</si>
  <si>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</si>
  <si>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</si>
  <si>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</si>
  <si>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</si>
  <si>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</si>
  <si>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</si>
  <si>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</si>
  <si>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</si>
  <si>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</si>
  <si>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</si>
  <si>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</si>
  <si>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</si>
  <si>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</si>
  <si>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</si>
  <si>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</si>
  <si>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</si>
  <si>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</si>
  <si>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</si>
  <si>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</si>
  <si>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</si>
  <si>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</si>
  <si>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</si>
  <si>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</si>
  <si>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</si>
  <si>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</si>
  <si>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</si>
  <si>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</si>
  <si>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</si>
  <si>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</si>
  <si>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</si>
  <si>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</si>
  <si>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</si>
  <si>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</si>
  <si>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</si>
  <si>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</si>
  <si>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</si>
  <si>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</si>
  <si>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</si>
  <si>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</si>
  <si>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</si>
  <si>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</si>
  <si>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</si>
  <si>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</si>
  <si>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</si>
  <si>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</si>
  <si>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</si>
  <si>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</si>
  <si>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</si>
  <si>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</si>
  <si>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</si>
  <si>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</si>
  <si>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</si>
  <si>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</si>
  <si>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</si>
  <si>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</si>
  <si>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</si>
  <si>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</si>
  <si>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</si>
  <si>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</si>
  <si>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</si>
  <si>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</si>
  <si>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</si>
  <si>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</si>
  <si>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</si>
  <si>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</si>
  <si>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</si>
  <si>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</si>
  <si>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</si>
  <si>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</si>
  <si>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</si>
  <si>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</si>
  <si>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</si>
  <si>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</si>
  <si>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</si>
  <si>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</si>
  <si>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</si>
  <si>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</si>
  <si>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</si>
  <si>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</si>
  <si>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</si>
  <si>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</si>
  <si>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</si>
  <si>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</si>
  <si>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</si>
  <si>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</si>
  <si>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</si>
  <si>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</si>
  <si>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</si>
  <si>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</si>
  <si>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</si>
  <si>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</si>
  <si>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</si>
  <si>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</si>
  <si>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</si>
  <si>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</si>
  <si>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</si>
  <si>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</si>
  <si>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</si>
  <si>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</si>
  <si>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</si>
  <si>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</si>
  <si>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</si>
  <si>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</si>
  <si>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</si>
  <si>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</si>
  <si>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</si>
  <si>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</si>
  <si>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</si>
  <si>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</si>
  <si>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</si>
  <si>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</si>
  <si>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</si>
  <si>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</si>
  <si>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</si>
  <si>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</si>
  <si>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</si>
  <si>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</si>
  <si>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</si>
  <si>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</si>
  <si>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</si>
  <si>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</si>
  <si>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</si>
  <si>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</si>
  <si>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</si>
  <si>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</si>
  <si>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</si>
  <si>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</si>
  <si>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</si>
  <si>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</si>
  <si>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</si>
  <si>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</si>
  <si>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</si>
  <si>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</si>
  <si>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</si>
  <si>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</si>
  <si>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</si>
  <si>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</si>
  <si>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</si>
  <si>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</si>
  <si>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</si>
  <si>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</si>
  <si>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</si>
  <si>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</si>
  <si>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</si>
  <si>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</si>
  <si>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</si>
  <si>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</si>
  <si>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</si>
  <si>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</si>
  <si>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</si>
  <si>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</si>
  <si>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</si>
  <si>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</si>
  <si>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</si>
  <si>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</si>
  <si>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</si>
  <si>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</si>
  <si>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</si>
  <si>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</si>
  <si>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</si>
  <si>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</si>
  <si>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</si>
  <si>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</si>
  <si>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</si>
  <si>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</si>
  <si>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</si>
  <si>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</si>
  <si>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</si>
  <si>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</si>
  <si>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</si>
  <si>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</si>
  <si>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</si>
  <si>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</si>
  <si>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</si>
  <si>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</si>
  <si>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</si>
  <si>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</si>
  <si>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</si>
  <si>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</si>
  <si>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</si>
  <si>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</si>
  <si>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</si>
  <si>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</si>
  <si>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</si>
  <si>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</si>
  <si>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</si>
  <si>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</si>
  <si>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</si>
  <si>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</si>
  <si>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</si>
  <si>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</si>
  <si>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</si>
  <si>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</si>
  <si>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</si>
  <si>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</si>
  <si>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</si>
  <si>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</si>
  <si>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</si>
  <si>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</si>
  <si>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</si>
  <si>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</si>
  <si>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</si>
  <si>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</si>
  <si>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</si>
  <si>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</si>
  <si>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</si>
  <si>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</si>
  <si>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</si>
  <si>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</si>
  <si>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</si>
  <si>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</si>
  <si>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</si>
  <si>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</si>
  <si>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</si>
  <si>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</si>
  <si>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</si>
  <si>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</si>
  <si>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</si>
  <si>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</si>
  <si>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</si>
  <si>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</si>
  <si>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</si>
  <si>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</si>
  <si>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</si>
  <si>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</si>
  <si>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</si>
  <si>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</si>
  <si>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</si>
  <si>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</si>
  <si>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</si>
  <si>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</si>
  <si>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</si>
  <si>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</si>
  <si>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</si>
  <si>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</si>
  <si>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</si>
  <si>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</si>
  <si>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</si>
  <si>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</si>
  <si>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</si>
  <si>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</si>
  <si>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</si>
  <si>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</si>
  <si>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</si>
  <si>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</si>
  <si>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</si>
  <si>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</si>
  <si>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</si>
  <si>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</si>
  <si>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</si>
  <si>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</si>
  <si>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</si>
  <si>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</si>
  <si>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</si>
  <si>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</si>
  <si>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</si>
  <si>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</si>
  <si>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</si>
  <si>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</si>
  <si>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</si>
  <si>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</si>
  <si>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</si>
  <si>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</si>
  <si>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</si>
  <si>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</si>
  <si>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</si>
  <si>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</si>
  <si>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</si>
  <si>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</si>
  <si>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</si>
  <si>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</si>
  <si>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</si>
  <si>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</si>
  <si>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</si>
  <si>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</si>
  <si>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</si>
  <si>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</si>
  <si>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</si>
  <si>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</si>
  <si>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</si>
  <si>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</si>
  <si>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</si>
  <si>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</si>
  <si>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</si>
  <si>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</si>
  <si>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</si>
  <si>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</si>
  <si>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</si>
  <si>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</si>
  <si>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</si>
  <si>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</si>
  <si>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</si>
  <si>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</si>
  <si>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</si>
  <si>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</si>
  <si>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</si>
  <si>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</si>
  <si>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</si>
  <si>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</si>
  <si>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</si>
  <si>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</si>
  <si>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</si>
  <si>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</si>
  <si>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</si>
  <si>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</si>
  <si>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</si>
  <si>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</si>
  <si>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</si>
  <si>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</si>
  <si>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</si>
  <si>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</si>
  <si>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</si>
  <si>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</si>
  <si>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</si>
  <si>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</si>
  <si>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</si>
  <si>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</si>
  <si>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</si>
  <si>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</si>
  <si>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</si>
  <si>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</si>
  <si>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</si>
  <si>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</si>
  <si>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</si>
  <si>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</si>
  <si>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</si>
  <si>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</si>
  <si>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</si>
  <si>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</si>
  <si>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</si>
  <si>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</si>
  <si>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</si>
  <si>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</si>
  <si>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</si>
  <si>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</si>
  <si>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</si>
  <si>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</si>
  <si>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</si>
  <si>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</si>
  <si>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</si>
  <si>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</si>
  <si>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</si>
  <si>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</si>
  <si>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</si>
  <si>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</si>
  <si>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</si>
  <si>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</si>
  <si>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</si>
  <si>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</si>
  <si>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</si>
  <si>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</si>
  <si>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</si>
  <si>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</si>
  <si>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</si>
  <si>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</si>
  <si>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</si>
  <si>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</si>
  <si>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</si>
  <si>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</si>
  <si>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</si>
  <si>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</si>
  <si>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</si>
  <si>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</si>
  <si>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</si>
  <si>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</si>
  <si>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</si>
  <si>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</si>
  <si>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</si>
  <si>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</si>
  <si>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</si>
  <si>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</si>
  <si>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</si>
  <si>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</si>
  <si>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</si>
  <si>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</si>
  <si>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</si>
  <si>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</si>
  <si>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</si>
  <si>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</si>
  <si>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</si>
  <si>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</si>
  <si>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</si>
  <si>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</si>
  <si>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</si>
  <si>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</si>
  <si>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</si>
  <si>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</si>
  <si>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</si>
  <si>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</si>
  <si>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</si>
  <si>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</si>
  <si>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</si>
  <si>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</si>
  <si>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</si>
  <si>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</si>
  <si>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</si>
  <si>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</si>
  <si>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</si>
  <si>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</si>
  <si>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</si>
  <si>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</si>
  <si>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</si>
  <si>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</si>
  <si>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</si>
  <si>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</si>
  <si>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</si>
  <si>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</si>
  <si>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</si>
  <si>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</si>
  <si>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</si>
  <si>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</si>
  <si>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</si>
  <si>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</si>
  <si>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</si>
  <si>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</si>
  <si>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</si>
  <si>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</si>
  <si>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</si>
  <si>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</si>
  <si>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</si>
  <si>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</si>
  <si>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</si>
  <si>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</si>
  <si>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</si>
  <si>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</si>
  <si>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</si>
  <si>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</si>
  <si>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</si>
  <si>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</si>
  <si>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</si>
  <si>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</si>
  <si>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</si>
  <si>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</si>
  <si>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</si>
  <si>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</si>
  <si>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</si>
  <si>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</si>
  <si>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</si>
  <si>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</si>
  <si>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</si>
  <si>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</si>
  <si>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</si>
  <si>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</si>
  <si>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</si>
  <si>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</si>
  <si>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</si>
  <si>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</si>
  <si>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</si>
  <si>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</si>
  <si>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</si>
  <si>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</si>
  <si>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</si>
  <si>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</si>
  <si>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</si>
  <si>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</si>
  <si>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</si>
  <si>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</si>
  <si>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</si>
  <si>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</si>
  <si>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</si>
  <si>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</si>
  <si>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</si>
  <si>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</si>
  <si>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</si>
  <si>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</si>
  <si>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</si>
  <si>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</si>
  <si>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</si>
  <si>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</si>
  <si>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</si>
  <si>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</si>
  <si>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</si>
  <si>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</si>
  <si>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</si>
  <si>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</si>
  <si>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</si>
  <si>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</si>
  <si>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</si>
  <si>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</si>
  <si>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</si>
  <si>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</si>
  <si>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</si>
  <si>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</si>
  <si>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</si>
  <si>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</si>
  <si>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</si>
  <si>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</si>
  <si>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</si>
  <si>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</si>
  <si>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</si>
  <si>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</si>
  <si>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</si>
  <si>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</si>
  <si>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</si>
  <si>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</si>
  <si>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</si>
  <si>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</si>
  <si>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</si>
  <si>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</si>
  <si>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</si>
  <si>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</si>
  <si>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</si>
  <si>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</si>
  <si>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</si>
  <si>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</si>
  <si>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</si>
  <si>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</si>
  <si>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</si>
  <si>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</si>
  <si>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</si>
  <si>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</si>
  <si>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</si>
  <si>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</si>
  <si>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</si>
  <si>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</si>
  <si>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</si>
  <si>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</si>
  <si>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</si>
  <si>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</si>
  <si>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</si>
  <si>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</si>
  <si>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</si>
  <si>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</si>
  <si>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</si>
  <si>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</si>
  <si>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</si>
  <si>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</si>
  <si>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</si>
  <si>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</si>
  <si>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</si>
  <si>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</si>
  <si>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</si>
  <si>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</si>
  <si>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</si>
  <si>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</si>
  <si>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</si>
  <si>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</si>
  <si>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</si>
  <si>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</si>
  <si>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</si>
  <si>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</si>
  <si>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</si>
  <si>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</si>
  <si>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</si>
  <si>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</si>
  <si>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</si>
  <si>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</si>
  <si>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</si>
  <si>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</si>
  <si>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</si>
  <si>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</si>
  <si>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</si>
  <si>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</si>
  <si>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</si>
  <si>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</si>
  <si>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</si>
  <si>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</si>
  <si>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</si>
  <si>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</si>
  <si>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</si>
  <si>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</si>
  <si>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</si>
  <si>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</si>
  <si>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</si>
  <si>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</si>
  <si>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</si>
  <si>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</si>
  <si>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</si>
  <si>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</si>
  <si>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</si>
  <si>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</si>
  <si>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</si>
  <si>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</si>
  <si>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</si>
  <si>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</si>
  <si>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</si>
  <si>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</si>
  <si>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</si>
  <si>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</si>
  <si>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</si>
  <si>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</si>
  <si>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</si>
  <si>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</si>
  <si>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</si>
  <si>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</si>
  <si>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</si>
  <si>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</si>
  <si>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</si>
  <si>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</si>
  <si>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</si>
  <si>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</si>
  <si>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</si>
  <si>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</si>
  <si>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</si>
  <si>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</si>
  <si>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</si>
  <si>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</si>
  <si>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</si>
  <si>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</si>
  <si>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</si>
  <si>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</si>
  <si>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</si>
  <si>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</si>
  <si>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</si>
  <si>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</si>
  <si>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</si>
  <si>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</si>
  <si>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</si>
  <si>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</si>
  <si>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</si>
  <si>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</si>
  <si>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</si>
  <si>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</si>
  <si>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</si>
  <si>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</si>
  <si>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</si>
  <si>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</si>
  <si>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</si>
  <si>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</si>
  <si>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</si>
  <si>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</si>
  <si>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</si>
  <si>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</si>
  <si>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</si>
  <si>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</si>
  <si>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</si>
  <si>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</si>
  <si>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</si>
  <si>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</si>
  <si>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</si>
  <si>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</si>
  <si>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</si>
  <si>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</si>
  <si>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</si>
  <si>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</si>
  <si>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</si>
  <si>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</si>
  <si>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</si>
  <si>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</si>
  <si>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</si>
  <si>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</si>
  <si>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</si>
  <si>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</si>
  <si>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</si>
  <si>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</si>
  <si>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</si>
  <si>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</si>
  <si>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</si>
  <si>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</si>
  <si>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</si>
  <si>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</si>
  <si>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</si>
  <si>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</si>
  <si>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</si>
  <si>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</si>
  <si>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</si>
  <si>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</si>
  <si>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</si>
  <si>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</si>
  <si>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</si>
  <si>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</si>
  <si>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</si>
  <si>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</si>
  <si>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</si>
  <si>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</si>
  <si>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</si>
  <si>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</si>
  <si>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</si>
  <si>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</si>
  <si>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</si>
  <si>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</si>
  <si>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</si>
  <si>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</si>
  <si>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</si>
  <si>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</si>
  <si>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</si>
  <si>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</si>
  <si>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</si>
  <si>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</si>
  <si>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</si>
  <si>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</si>
  <si>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</si>
  <si>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</si>
  <si>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</si>
  <si>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</si>
  <si>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</si>
  <si>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</si>
  <si>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</si>
  <si>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</si>
  <si>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</si>
  <si>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</si>
  <si>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</si>
  <si>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</si>
  <si>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</si>
  <si>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</si>
  <si>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</si>
  <si>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</si>
  <si>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</si>
  <si>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</si>
  <si>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</si>
  <si>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</si>
  <si>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</si>
  <si>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</si>
  <si>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</si>
  <si>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</si>
  <si>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</si>
  <si>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</si>
  <si>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</si>
  <si>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</si>
  <si>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</si>
  <si>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</si>
  <si>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</si>
  <si>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</si>
  <si>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</si>
  <si>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</si>
  <si>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</si>
  <si>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</si>
  <si>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</si>
  <si>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</si>
  <si>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</si>
  <si>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</si>
  <si>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</si>
  <si>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</si>
  <si>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</si>
  <si>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</si>
  <si>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</si>
  <si>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</si>
  <si>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</si>
  <si>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</si>
  <si>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</si>
  <si>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</si>
  <si>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</si>
  <si>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</si>
  <si>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</si>
  <si>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</si>
  <si>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</si>
  <si>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</si>
  <si>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</si>
  <si>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</si>
  <si>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</si>
  <si>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</si>
  <si>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</si>
  <si>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</si>
  <si>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</si>
  <si>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</si>
  <si>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</si>
  <si>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</si>
  <si>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</si>
  <si>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</si>
  <si>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</si>
  <si>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</si>
  <si>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</si>
  <si>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</si>
  <si>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</si>
  <si>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</si>
  <si>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</si>
  <si>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</si>
  <si>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</si>
  <si>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</si>
  <si>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</si>
  <si>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</si>
  <si>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</si>
  <si>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</si>
  <si>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</si>
  <si>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</si>
  <si>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</si>
  <si>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</si>
  <si>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</si>
  <si>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</si>
  <si>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</si>
  <si>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</si>
  <si>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</si>
  <si>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</si>
  <si>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</si>
  <si>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</si>
  <si>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</si>
  <si>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</si>
  <si>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</si>
  <si>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</si>
  <si>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</si>
  <si>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</si>
  <si>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</si>
  <si>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</si>
  <si>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</si>
  <si>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</si>
  <si>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</si>
  <si>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</si>
  <si>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</si>
  <si>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</si>
  <si>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</si>
  <si>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</si>
  <si>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</si>
  <si>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</si>
  <si>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</si>
  <si>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</si>
  <si>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</si>
  <si>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</si>
  <si>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</si>
  <si>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</si>
  <si>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</si>
  <si>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</si>
  <si>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</si>
  <si>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</si>
  <si>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</si>
  <si>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</si>
  <si>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</si>
  <si>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</si>
  <si>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</si>
  <si>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</si>
  <si>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</si>
  <si>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</si>
  <si>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</si>
  <si>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</si>
  <si>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</si>
  <si>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</si>
  <si>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</si>
  <si>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</si>
  <si>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</si>
  <si>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</si>
  <si>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</si>
  <si>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</si>
  <si>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</si>
  <si>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</si>
  <si>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</si>
  <si>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</si>
  <si>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</si>
  <si>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</si>
  <si>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</si>
  <si>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</si>
  <si>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</si>
  <si>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</si>
  <si>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</si>
  <si>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</si>
  <si>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</si>
  <si>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</si>
  <si>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</si>
  <si>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</si>
  <si>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</si>
  <si>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</si>
  <si>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</si>
  <si>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</si>
  <si>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</si>
  <si>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</si>
  <si>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</si>
  <si>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</si>
  <si>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</si>
  <si>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</si>
  <si>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</si>
  <si>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</si>
  <si>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</si>
  <si>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</si>
  <si>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</si>
  <si>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</si>
  <si>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</si>
  <si>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</si>
  <si>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</si>
  <si>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</si>
  <si>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</si>
  <si>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</si>
  <si>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</si>
  <si>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</si>
  <si>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</si>
  <si>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</si>
  <si>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</si>
  <si>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</si>
  <si>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</si>
  <si>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</si>
  <si>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</si>
  <si>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</si>
  <si>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</si>
  <si>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</si>
  <si>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</si>
  <si>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</si>
  <si>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</si>
  <si>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</si>
  <si>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</si>
  <si>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</si>
  <si>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</si>
  <si>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</si>
  <si>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</si>
  <si>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</si>
  <si>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</si>
  <si>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</si>
  <si>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</si>
  <si>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</si>
  <si>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</si>
  <si>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</si>
  <si>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</si>
  <si>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</si>
  <si>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</si>
  <si>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</si>
  <si>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</si>
  <si>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</si>
  <si>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</si>
  <si>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</si>
  <si>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</si>
  <si>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</si>
  <si>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</si>
  <si>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</si>
  <si>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</si>
  <si>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</si>
  <si>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</si>
  <si>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</si>
  <si>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</si>
  <si>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</si>
  <si>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</si>
  <si>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</si>
  <si>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</si>
  <si>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</si>
  <si>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</si>
  <si>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</si>
  <si>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</si>
  <si>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</si>
  <si>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</si>
  <si>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</si>
  <si>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</si>
  <si>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</si>
  <si>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</si>
  <si>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</si>
  <si>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</si>
  <si>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</si>
  <si>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</si>
  <si>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</si>
  <si>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</si>
  <si>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</si>
  <si>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</si>
  <si>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</si>
  <si>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</si>
  <si>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</si>
  <si>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</si>
  <si>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</si>
  <si>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</si>
  <si>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</si>
  <si>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</si>
  <si>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</si>
  <si>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</si>
  <si>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</si>
  <si>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</si>
  <si>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</si>
  <si>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</si>
  <si>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</si>
  <si>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</si>
  <si>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</si>
  <si>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</si>
  <si>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</si>
  <si>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</si>
  <si>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</si>
  <si>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</si>
  <si>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</si>
  <si>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</si>
  <si>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</si>
  <si>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</si>
  <si>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</si>
  <si>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</si>
  <si>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</si>
  <si>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</si>
  <si>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</si>
  <si>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</si>
  <si>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</si>
  <si>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</si>
  <si>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</si>
  <si>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</si>
  <si>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</si>
  <si>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</si>
  <si>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</si>
  <si>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</si>
  <si>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</si>
  <si>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</si>
  <si>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</si>
  <si>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</si>
  <si>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</si>
  <si>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</si>
  <si>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</si>
  <si>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</si>
  <si>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</si>
  <si>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</si>
  <si>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</si>
  <si>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</si>
  <si>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</si>
  <si>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</si>
  <si>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</si>
  <si>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</si>
  <si>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</si>
  <si>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</si>
  <si>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</si>
  <si>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</si>
  <si>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</si>
  <si>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</si>
  <si>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</si>
  <si>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</si>
  <si>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</si>
  <si>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</si>
  <si>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</si>
  <si>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</si>
  <si>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</si>
  <si>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</si>
  <si>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</si>
  <si>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</si>
  <si>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</si>
  <si>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</si>
  <si>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</si>
  <si>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</si>
  <si>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</si>
  <si>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</si>
  <si>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</si>
  <si>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</si>
  <si>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</si>
  <si>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</si>
  <si>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</si>
  <si>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</si>
  <si>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</si>
  <si>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</si>
  <si>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</si>
  <si>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</si>
  <si>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</si>
  <si>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</si>
  <si>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</si>
  <si>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</si>
  <si>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</si>
  <si>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</si>
  <si>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</si>
  <si>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</si>
  <si>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</si>
  <si>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</si>
  <si>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</si>
  <si>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</si>
  <si>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</si>
  <si>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</si>
  <si>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</si>
  <si>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</si>
  <si>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</si>
  <si>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</si>
  <si>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</si>
  <si>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</si>
  <si>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</si>
  <si>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</si>
  <si>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</si>
  <si>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</si>
  <si>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</si>
  <si>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</si>
  <si>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</si>
  <si>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</si>
  <si>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</si>
  <si>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</si>
  <si>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</si>
  <si>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</si>
  <si>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</si>
  <si>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</si>
  <si>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</si>
  <si>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</si>
  <si>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</si>
  <si>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</si>
  <si>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</si>
  <si>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</si>
  <si>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</si>
  <si>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</si>
  <si>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</si>
  <si>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</si>
  <si>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</si>
  <si>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</si>
  <si>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</si>
  <si>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</si>
  <si>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</si>
  <si>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</si>
  <si>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</si>
  <si>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</si>
  <si>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</si>
  <si>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</si>
  <si>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</si>
  <si>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</si>
  <si>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</si>
  <si>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</si>
  <si>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</si>
  <si>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</si>
  <si>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</si>
  <si>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</si>
  <si>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</si>
  <si>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</si>
  <si>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</si>
  <si>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</si>
  <si>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</si>
  <si>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</si>
  <si>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</si>
  <si>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</si>
  <si>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</si>
  <si>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</si>
  <si>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</si>
  <si>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</si>
  <si>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</si>
  <si>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</si>
  <si>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</si>
  <si>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</si>
  <si>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</si>
  <si>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</si>
  <si>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</si>
  <si>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</si>
  <si>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</si>
  <si>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</si>
  <si>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</si>
  <si>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</si>
  <si>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</si>
  <si>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</si>
  <si>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</si>
  <si>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</si>
  <si>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</si>
  <si>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</si>
  <si>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</si>
  <si>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</si>
  <si>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</si>
  <si>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</si>
  <si>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</si>
  <si>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</si>
  <si>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</si>
  <si>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</si>
  <si>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</si>
  <si>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</si>
  <si>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</si>
  <si>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</si>
  <si>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</si>
  <si>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</si>
  <si>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</si>
  <si>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</si>
  <si>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</si>
  <si>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</si>
  <si>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</si>
  <si>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</si>
  <si>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</si>
  <si>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</si>
  <si>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</si>
  <si>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</si>
  <si>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</si>
  <si>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</si>
  <si>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</si>
  <si>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</si>
  <si>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</si>
  <si>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</si>
  <si>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</si>
  <si>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</si>
  <si>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</si>
  <si>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</si>
  <si>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</si>
  <si>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</si>
  <si>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</si>
  <si>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</si>
  <si>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</si>
  <si>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</si>
  <si>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</si>
  <si>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</si>
  <si>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</si>
  <si>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</si>
  <si>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</si>
  <si>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</si>
  <si>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</si>
  <si>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</si>
  <si>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</si>
  <si>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</si>
  <si>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</si>
  <si>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</si>
  <si>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</si>
  <si>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</si>
  <si>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</si>
  <si>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</si>
  <si>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</si>
  <si>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</si>
  <si>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</si>
  <si>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</si>
  <si>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</si>
  <si>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</si>
  <si>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</si>
  <si>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</si>
  <si>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</si>
  <si>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</si>
  <si>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</si>
  <si>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</si>
  <si>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</si>
  <si>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</si>
  <si>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</si>
  <si>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</si>
  <si>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</si>
  <si>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</si>
  <si>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</si>
  <si>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</si>
  <si>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</si>
  <si>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</si>
  <si>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</si>
  <si>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</si>
  <si>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</si>
  <si>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</si>
  <si>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</si>
  <si>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</si>
  <si>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</si>
  <si>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</si>
  <si>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</si>
  <si>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</si>
  <si>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</si>
  <si>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</si>
  <si>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</si>
  <si>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</si>
  <si>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</si>
  <si>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</si>
  <si>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</si>
  <si>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</si>
  <si>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</si>
  <si>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</si>
  <si>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</si>
  <si>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</si>
  <si>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</si>
  <si>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</si>
  <si>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</si>
  <si>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</si>
  <si>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</si>
  <si>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</si>
  <si>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</si>
  <si>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</si>
  <si>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</si>
  <si>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</si>
  <si>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</si>
  <si>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</si>
  <si>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</si>
  <si>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</si>
  <si>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</si>
  <si>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</si>
  <si>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</si>
  <si>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</si>
  <si>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</si>
  <si>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</si>
  <si>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</si>
  <si>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</si>
  <si>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</si>
  <si>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</si>
  <si>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</si>
  <si>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</si>
  <si>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</si>
  <si>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</si>
  <si>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</si>
  <si>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</si>
  <si>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</si>
  <si>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</si>
  <si>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</si>
  <si>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</si>
  <si>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</si>
  <si>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</si>
  <si>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</si>
  <si>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</si>
  <si>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</si>
  <si>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</si>
  <si>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</si>
  <si>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</si>
  <si>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</si>
  <si>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</si>
  <si>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</si>
  <si>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</si>
  <si>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</si>
  <si>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</si>
  <si>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</si>
  <si>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</si>
  <si>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</si>
  <si>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</si>
  <si>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</si>
  <si>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</si>
  <si>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</si>
  <si>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</si>
  <si>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</si>
  <si>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</si>
  <si>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</si>
  <si>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</si>
  <si>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</si>
  <si>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</si>
  <si>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</si>
  <si>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</si>
  <si>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</si>
  <si>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</si>
  <si>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</si>
  <si>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</si>
  <si>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</si>
  <si>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</si>
  <si>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</si>
  <si>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</si>
  <si>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</si>
  <si>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</si>
  <si>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</si>
  <si>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</si>
  <si>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</si>
  <si>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</si>
  <si>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</si>
  <si>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</si>
  <si>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</si>
  <si>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</si>
  <si>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</si>
  <si>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</si>
  <si>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</si>
  <si>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</si>
  <si>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</si>
  <si>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</si>
  <si>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</si>
  <si>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</si>
  <si>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</si>
  <si>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</si>
  <si>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</si>
  <si>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</si>
  <si>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</si>
  <si>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</si>
  <si>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</si>
  <si>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</si>
  <si>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</si>
  <si>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</si>
  <si>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</si>
  <si>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</si>
  <si>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</si>
  <si>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</si>
  <si>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</si>
  <si>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</si>
  <si>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</si>
  <si>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</si>
  <si>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</si>
  <si>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</si>
  <si>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</si>
  <si>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</si>
  <si>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</si>
  <si>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</si>
  <si>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</si>
  <si>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</si>
  <si>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</si>
  <si>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</si>
  <si>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</si>
  <si>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</si>
  <si>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</si>
  <si>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</si>
  <si>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</si>
  <si>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</si>
  <si>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</si>
  <si>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</si>
  <si>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</si>
  <si>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</si>
  <si>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</si>
  <si>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</si>
  <si>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</si>
  <si>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</si>
  <si>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</si>
  <si>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</si>
  <si>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</si>
  <si>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</si>
  <si>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</si>
  <si>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</si>
  <si>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</si>
  <si>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</si>
  <si>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</si>
  <si>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</si>
  <si>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</si>
  <si>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</si>
  <si>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</si>
  <si>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</si>
  <si>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</si>
  <si>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</si>
  <si>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</si>
  <si>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</si>
  <si>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</si>
  <si>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</si>
  <si>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</si>
  <si>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</si>
  <si>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</si>
  <si>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</si>
  <si>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</si>
  <si>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</si>
  <si>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</si>
  <si>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</si>
  <si>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</si>
  <si>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</si>
  <si>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</si>
  <si>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</si>
  <si>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</si>
  <si>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</si>
  <si>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</si>
  <si>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</si>
  <si>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</si>
  <si>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</si>
  <si>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</si>
  <si>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</si>
  <si>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</si>
  <si>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</si>
  <si>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</si>
  <si>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</si>
  <si>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</si>
  <si>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</si>
  <si>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</si>
  <si>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</si>
  <si>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</si>
  <si>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</si>
  <si>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</si>
  <si>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</si>
  <si>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</si>
  <si>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</si>
  <si>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</si>
  <si>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</si>
  <si>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</si>
  <si>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</si>
  <si>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</si>
  <si>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</si>
  <si>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</si>
  <si>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</si>
  <si>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</si>
  <si>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</si>
  <si>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</si>
  <si>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</si>
  <si>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</si>
  <si>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</si>
  <si>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</si>
  <si>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</si>
  <si>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</si>
  <si>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</si>
  <si>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</si>
  <si>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</si>
  <si>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</si>
  <si>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</si>
  <si>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</si>
  <si>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</si>
  <si>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</si>
  <si>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</si>
  <si>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</si>
  <si>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</si>
  <si>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</si>
  <si>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</si>
  <si>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</si>
  <si>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</si>
  <si>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</si>
  <si>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</si>
  <si>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</si>
  <si>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</si>
  <si>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</si>
  <si>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</si>
  <si>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</si>
  <si>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</si>
  <si>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</si>
  <si>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</si>
  <si>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</si>
  <si>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</si>
  <si>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</si>
  <si>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</si>
  <si>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</si>
  <si>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</si>
  <si>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</si>
  <si>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</si>
  <si>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</si>
  <si>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</si>
  <si>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</si>
  <si>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</si>
  <si>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</si>
  <si>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</si>
  <si>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</si>
  <si>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</si>
  <si>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</si>
  <si>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</si>
  <si>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</si>
  <si>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</si>
  <si>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</si>
  <si>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</si>
  <si>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</si>
  <si>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</si>
  <si>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</si>
  <si>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</si>
  <si>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</si>
  <si>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</si>
  <si>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</si>
  <si>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</si>
  <si>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</si>
  <si>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</si>
  <si>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</si>
  <si>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</si>
  <si>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</si>
  <si>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</si>
  <si>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</si>
  <si>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</si>
  <si>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</si>
  <si>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</si>
  <si>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</si>
  <si>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</si>
  <si>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</si>
  <si>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</si>
  <si>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</si>
  <si>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</si>
  <si>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</si>
  <si>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</si>
  <si>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</si>
  <si>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</si>
  <si>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</si>
  <si>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</si>
  <si>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</si>
  <si>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</si>
  <si>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</si>
  <si>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</si>
  <si>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</si>
  <si>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</si>
  <si>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</si>
  <si>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</si>
  <si>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</si>
  <si>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</si>
  <si>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</si>
  <si>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</si>
  <si>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</si>
  <si>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</si>
  <si>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</si>
  <si>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</si>
  <si>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</si>
  <si>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</si>
  <si>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</si>
  <si>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</si>
  <si>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</si>
  <si>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</si>
  <si>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</si>
  <si>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</si>
  <si>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</si>
  <si>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</si>
  <si>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</si>
  <si>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</si>
  <si>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</si>
  <si>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</si>
  <si>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</si>
  <si>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</si>
  <si>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</si>
  <si>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</si>
  <si>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</si>
  <si>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</si>
  <si>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</si>
  <si>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</si>
  <si>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</si>
  <si>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</si>
  <si>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</si>
  <si>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</si>
  <si>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</si>
  <si>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</si>
  <si>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</si>
  <si>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</si>
  <si>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</si>
  <si>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</si>
  <si>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</si>
  <si>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</si>
  <si>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</si>
  <si>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</si>
  <si>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</si>
  <si>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</si>
  <si>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</si>
  <si>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</si>
  <si>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</si>
  <si>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</si>
  <si>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</si>
  <si>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</si>
  <si>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</si>
  <si>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</si>
  <si>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</si>
  <si>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</si>
  <si>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</si>
  <si>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</si>
  <si>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</si>
  <si>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</si>
  <si>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</si>
  <si>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</si>
  <si>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</si>
  <si>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</si>
  <si>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</si>
  <si>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</si>
  <si>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</si>
  <si>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</si>
  <si>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</si>
  <si>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</si>
  <si>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</si>
  <si>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</si>
  <si>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</si>
  <si>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</si>
  <si>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</si>
  <si>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</si>
  <si>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</si>
  <si>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</si>
  <si>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</si>
  <si>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</si>
  <si>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</si>
  <si>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</si>
  <si>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</si>
  <si>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</si>
  <si>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</si>
  <si>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</si>
  <si>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</si>
  <si>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</si>
  <si>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</si>
  <si>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</si>
  <si>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</si>
  <si>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</si>
  <si>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</si>
  <si>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</si>
  <si>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</si>
  <si>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</si>
  <si>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</si>
  <si>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</si>
  <si>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</si>
  <si>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</si>
  <si>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</si>
  <si>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</si>
  <si>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</si>
  <si>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</si>
  <si>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</si>
  <si>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</si>
  <si>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</si>
  <si>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</si>
  <si>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</si>
  <si>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</si>
  <si>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</si>
  <si>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</si>
  <si>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</si>
  <si>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</si>
  <si>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</si>
  <si>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</si>
  <si>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</si>
  <si>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</si>
  <si>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</si>
  <si>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</si>
  <si>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</si>
  <si>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</si>
  <si>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</si>
  <si>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</si>
  <si>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</si>
  <si>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</si>
  <si>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</si>
  <si>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</si>
  <si>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</si>
  <si>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</si>
  <si>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</si>
  <si>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</si>
  <si>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</si>
  <si>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</si>
  <si>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</si>
  <si>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</si>
  <si>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</si>
  <si>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</si>
  <si>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</si>
  <si>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</si>
  <si>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</si>
  <si>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</si>
  <si>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</si>
  <si>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</si>
  <si>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</si>
  <si>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</si>
  <si>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</si>
  <si>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</si>
  <si>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</si>
  <si>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</si>
  <si>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</si>
  <si>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</si>
  <si>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</si>
  <si>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</si>
  <si>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</si>
  <si>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</si>
  <si>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</si>
  <si>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</si>
  <si>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</si>
  <si>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</si>
  <si>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</si>
  <si>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</si>
  <si>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</si>
  <si>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</si>
  <si>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</si>
  <si>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</si>
  <si>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</si>
  <si>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</si>
  <si>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</si>
  <si>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</si>
  <si>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</si>
  <si>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</si>
  <si>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</si>
  <si>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</si>
  <si>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</si>
  <si>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</si>
  <si>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</si>
  <si>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</si>
  <si>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</si>
  <si>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</si>
  <si>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</si>
  <si>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</si>
  <si>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</si>
  <si>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</si>
  <si>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</si>
  <si>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</si>
  <si>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</si>
  <si>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</si>
  <si>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</si>
  <si>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</si>
  <si>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</si>
  <si>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</si>
  <si>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</si>
  <si>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</si>
  <si>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</si>
  <si>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</si>
  <si>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</si>
  <si>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</si>
  <si>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</si>
  <si>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</si>
  <si>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</si>
  <si>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</si>
  <si>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</si>
  <si>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</si>
  <si>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</si>
  <si>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</si>
  <si>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</si>
  <si>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</si>
  <si>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</si>
  <si>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</si>
  <si>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</si>
  <si>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</si>
  <si>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</si>
  <si>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</si>
  <si>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</si>
  <si>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</si>
  <si>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</si>
  <si>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</si>
  <si>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</si>
  <si>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</si>
  <si>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</si>
  <si>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</si>
  <si>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</si>
  <si>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</si>
  <si>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</si>
  <si>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</si>
  <si>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</si>
  <si>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</si>
  <si>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</si>
  <si>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</si>
  <si>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</si>
  <si>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</si>
  <si>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</si>
  <si>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</si>
  <si>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</si>
  <si>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</si>
  <si>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</si>
  <si>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</si>
  <si>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</si>
  <si>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</si>
  <si>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</si>
  <si>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</si>
  <si>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</si>
  <si>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</si>
  <si>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</si>
  <si>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</si>
  <si>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</si>
  <si>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</si>
  <si>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</si>
  <si>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</si>
  <si>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</si>
  <si>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</si>
  <si>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</si>
  <si>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</si>
  <si>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</si>
  <si>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</si>
  <si>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</si>
  <si>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</si>
  <si>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</si>
  <si>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</si>
  <si>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</si>
  <si>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</si>
  <si>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</si>
  <si>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</si>
  <si>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</si>
  <si>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</si>
  <si>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</si>
  <si>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</si>
  <si>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</si>
  <si>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</si>
  <si>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</si>
  <si>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</si>
  <si>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</si>
  <si>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</si>
  <si>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</si>
  <si>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</si>
  <si>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</si>
  <si>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</si>
  <si>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</si>
  <si>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</si>
  <si>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</si>
  <si>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</si>
  <si>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</si>
  <si>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</si>
  <si>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</si>
  <si>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</si>
  <si>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</si>
  <si>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</si>
  <si>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</si>
  <si>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</si>
  <si>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</si>
  <si>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</si>
  <si>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</si>
  <si>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</si>
  <si>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</si>
  <si>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</si>
  <si>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</si>
  <si>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</si>
  <si>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</si>
  <si>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</si>
  <si>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</si>
  <si>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</si>
  <si>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</si>
  <si>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</si>
  <si>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</si>
  <si>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</si>
  <si>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</si>
  <si>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</si>
  <si>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</si>
  <si>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</si>
  <si>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</si>
  <si>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</si>
  <si>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</si>
  <si>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</si>
  <si>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</si>
  <si>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</si>
  <si>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</si>
  <si>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</si>
  <si>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</si>
  <si>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</si>
  <si>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</si>
  <si>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</si>
  <si>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</si>
  <si>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</si>
  <si>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</si>
  <si>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</si>
  <si>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</si>
  <si>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</si>
  <si>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</si>
  <si>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</si>
  <si>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</si>
  <si>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</si>
  <si>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</si>
  <si>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</si>
  <si>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</si>
  <si>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</si>
  <si>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</si>
  <si>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</si>
  <si>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</si>
  <si>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</si>
  <si>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</si>
  <si>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</si>
  <si>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</si>
  <si>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</si>
  <si>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</si>
  <si>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</si>
  <si>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</si>
  <si>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</si>
  <si>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</si>
  <si>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</si>
  <si>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</si>
  <si>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</si>
  <si>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</si>
  <si>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</si>
  <si>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</si>
  <si>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</si>
  <si>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</si>
  <si>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</si>
  <si>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</si>
  <si>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</si>
  <si>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</si>
  <si>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</si>
  <si>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</si>
  <si>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</si>
  <si>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</si>
  <si>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</si>
  <si>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</si>
  <si>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</si>
  <si>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</si>
  <si>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</si>
  <si>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</si>
  <si>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</si>
  <si>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</si>
  <si>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</si>
  <si>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</si>
  <si>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</si>
  <si>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</si>
  <si>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</si>
  <si>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</si>
  <si>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</si>
  <si>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</si>
  <si>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</si>
  <si>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</si>
  <si>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</si>
  <si>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</si>
  <si>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</si>
  <si>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</si>
  <si>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</si>
  <si>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</si>
  <si>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</si>
  <si>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</si>
  <si>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</si>
  <si>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</si>
  <si>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</si>
  <si>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</si>
  <si>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</si>
  <si>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</si>
  <si>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</si>
  <si>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</si>
  <si>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</si>
  <si>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</si>
  <si>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</si>
  <si>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</si>
  <si>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</si>
  <si>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</si>
  <si>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</si>
  <si>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</si>
  <si>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</si>
  <si>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</si>
  <si>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</si>
  <si>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</si>
  <si>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</si>
  <si>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</si>
  <si>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</si>
  <si>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</si>
  <si>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</si>
  <si>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</si>
  <si>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</si>
  <si>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</si>
  <si>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</si>
  <si>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</si>
  <si>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</si>
  <si>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</si>
  <si>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</si>
  <si>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</si>
  <si>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</si>
  <si>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</si>
  <si>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</si>
  <si>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</si>
  <si>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</si>
  <si>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</si>
  <si>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</si>
  <si>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</si>
  <si>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</si>
  <si>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</si>
  <si>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</si>
  <si>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</si>
  <si>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</si>
  <si>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</si>
  <si>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</si>
  <si>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</si>
  <si>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</si>
  <si>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</si>
  <si>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</si>
  <si>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</si>
  <si>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</si>
  <si>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</si>
  <si>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</si>
  <si>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</si>
  <si>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</si>
  <si>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</si>
  <si>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</si>
  <si>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</si>
  <si>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</si>
  <si>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</si>
  <si>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</si>
  <si>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</si>
  <si>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</si>
  <si>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</si>
  <si>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</si>
  <si>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</si>
  <si>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</si>
  <si>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</si>
  <si>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</si>
  <si>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</si>
  <si>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</si>
  <si>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</si>
  <si>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</si>
  <si>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</si>
  <si>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</si>
  <si>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</si>
  <si>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</si>
  <si>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</si>
  <si>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</si>
  <si>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</si>
  <si>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</si>
  <si>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</si>
  <si>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</si>
  <si>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</si>
  <si>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</si>
  <si>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</si>
  <si>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</si>
  <si>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</si>
  <si>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</si>
  <si>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</si>
  <si>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</si>
  <si>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</si>
  <si>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</si>
  <si>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</si>
  <si>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</si>
  <si>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</si>
  <si>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</si>
  <si>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</si>
  <si>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</si>
  <si>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</si>
  <si>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</si>
  <si>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</si>
  <si>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</si>
  <si>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</si>
  <si>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</si>
  <si>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</si>
  <si>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</si>
  <si>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</si>
  <si>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</si>
  <si>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</si>
  <si>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</si>
  <si>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</si>
  <si>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</si>
  <si>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</si>
  <si>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</si>
  <si>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</si>
  <si>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</si>
  <si>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</si>
  <si>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</si>
  <si>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</si>
  <si>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</si>
  <si>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</si>
  <si>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</si>
  <si>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</si>
  <si>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</si>
  <si>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</si>
  <si>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</si>
  <si>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</si>
  <si>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</si>
  <si>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</si>
  <si>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</si>
  <si>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</si>
  <si>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</si>
  <si>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</si>
  <si>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</si>
  <si>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</si>
  <si>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</si>
  <si>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</si>
  <si>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</si>
  <si>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</si>
  <si>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</si>
  <si>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</si>
  <si>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</si>
  <si>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</si>
  <si>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</si>
  <si>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</si>
  <si>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</si>
  <si>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</si>
  <si>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</si>
  <si>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</si>
  <si>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</si>
  <si>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</si>
  <si>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</si>
  <si>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</si>
  <si>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</si>
  <si>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</si>
  <si>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</si>
  <si>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</si>
  <si>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</si>
  <si>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</si>
  <si>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</si>
  <si>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</si>
  <si>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</si>
  <si>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</si>
  <si>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</si>
  <si>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</si>
  <si>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</si>
  <si>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</si>
  <si>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</si>
  <si>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</si>
  <si>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</si>
  <si>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</si>
  <si>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</si>
  <si>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</si>
  <si>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</si>
  <si>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</si>
  <si>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</si>
  <si>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</si>
  <si>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</si>
  <si>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</si>
  <si>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</si>
  <si>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</si>
  <si>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</si>
  <si>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</si>
  <si>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</si>
  <si>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</si>
  <si>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</si>
  <si>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</si>
  <si>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</si>
  <si>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</si>
  <si>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</si>
  <si>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</si>
  <si>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</si>
  <si>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</si>
  <si>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</si>
  <si>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</si>
  <si>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</si>
  <si>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</si>
  <si>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</si>
  <si>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</si>
  <si>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</si>
  <si>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</si>
  <si>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</si>
  <si>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</si>
  <si>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</si>
  <si>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</si>
  <si>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</si>
  <si>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</si>
  <si>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</si>
  <si>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</si>
  <si>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</si>
  <si>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</si>
  <si>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</si>
  <si>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</si>
  <si>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</si>
  <si>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</si>
  <si>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</si>
  <si>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</si>
  <si>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</si>
  <si>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</si>
  <si>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</si>
  <si>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</si>
  <si>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</si>
  <si>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</si>
  <si>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</si>
  <si>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</si>
  <si>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</si>
  <si>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</si>
  <si>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</si>
  <si>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</si>
  <si>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</si>
  <si>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</si>
  <si>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</si>
  <si>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</si>
  <si>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</si>
  <si>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</si>
  <si>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</si>
  <si>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</si>
  <si>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</si>
  <si>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</si>
  <si>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</si>
  <si>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</si>
  <si>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</si>
  <si>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</si>
  <si>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</si>
  <si>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</si>
  <si>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</si>
  <si>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</si>
  <si>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</si>
  <si>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</si>
  <si>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</si>
  <si>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</si>
  <si>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</si>
  <si>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</si>
  <si>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</si>
  <si>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</si>
  <si>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</si>
  <si>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</si>
  <si>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</si>
  <si>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</si>
  <si>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</si>
  <si>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</si>
  <si>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</si>
  <si>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</si>
  <si>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</si>
  <si>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</si>
  <si>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</si>
  <si>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</si>
  <si>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</si>
  <si>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</si>
  <si>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</si>
  <si>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</si>
  <si>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</si>
  <si>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</si>
  <si>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</si>
  <si>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</si>
  <si>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</si>
  <si>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</si>
  <si>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</si>
  <si>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</si>
  <si>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</si>
  <si>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</si>
  <si>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</si>
  <si>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</si>
  <si>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</si>
  <si>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</si>
  <si>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</si>
  <si>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</si>
  <si>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</si>
  <si>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</si>
  <si>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</si>
  <si>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</si>
  <si>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</si>
  <si>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</si>
  <si>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</si>
  <si>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</si>
  <si>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</si>
  <si>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</si>
  <si>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</si>
  <si>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</si>
  <si>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</si>
  <si>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</si>
  <si>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</si>
  <si>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</si>
  <si>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</si>
  <si>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</si>
  <si>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</si>
  <si>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</si>
  <si>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</si>
  <si>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</si>
  <si>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</si>
  <si>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</si>
  <si>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</si>
  <si>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</si>
  <si>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</si>
  <si>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</si>
  <si>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</si>
  <si>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</si>
  <si>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</si>
  <si>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</si>
  <si>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</si>
  <si>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</si>
  <si>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</si>
  <si>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</si>
  <si>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</si>
  <si>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</si>
  <si>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</si>
  <si>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</si>
  <si>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</si>
  <si>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</si>
  <si>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</si>
  <si>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</si>
  <si>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</si>
  <si>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</si>
  <si>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</si>
  <si>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</si>
  <si>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</si>
  <si>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</si>
  <si>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</si>
  <si>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</si>
  <si>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</si>
  <si>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</si>
  <si>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</si>
  <si>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</si>
  <si>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</si>
  <si>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</si>
  <si>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</si>
  <si>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</si>
  <si>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</si>
  <si>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</si>
  <si>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</si>
  <si>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</si>
  <si>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</si>
  <si>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</si>
  <si>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</si>
  <si>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</si>
  <si>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</si>
  <si>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</si>
  <si>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</si>
  <si>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</si>
  <si>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</si>
  <si>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</si>
  <si>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</si>
  <si>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</si>
  <si>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</si>
  <si>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</si>
  <si>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</si>
  <si>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</si>
  <si>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</si>
  <si>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</si>
  <si>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</si>
  <si>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</si>
  <si>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</si>
  <si>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</si>
  <si>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</si>
  <si>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</si>
  <si>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</si>
  <si>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</si>
  <si>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</si>
  <si>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</si>
  <si>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</si>
  <si>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</si>
  <si>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</si>
  <si>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</si>
  <si>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</si>
  <si>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</si>
  <si>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</si>
  <si>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</si>
  <si>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</si>
  <si>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</si>
  <si>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</si>
  <si>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</si>
  <si>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</si>
  <si>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</si>
  <si>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</si>
  <si>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</si>
  <si>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</si>
  <si>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</si>
  <si>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</si>
  <si>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</si>
  <si>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</si>
  <si>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</si>
  <si>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</si>
  <si>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</si>
  <si>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</si>
  <si>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</si>
  <si>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</si>
  <si>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</si>
  <si>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</si>
  <si>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</si>
  <si>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</si>
  <si>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</si>
  <si>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</si>
  <si>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</si>
  <si>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</si>
  <si>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</si>
  <si>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</si>
  <si>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</si>
  <si>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</si>
  <si>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</si>
  <si>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</si>
  <si>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</si>
  <si>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</si>
  <si>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</si>
  <si>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</si>
  <si>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</si>
  <si>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</si>
  <si>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</si>
  <si>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</si>
  <si>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</si>
  <si>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</si>
  <si>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</si>
  <si>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</si>
  <si>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</si>
  <si>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</si>
  <si>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</si>
  <si>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</si>
  <si>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</si>
  <si>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</si>
  <si>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</si>
  <si>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</si>
  <si>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</si>
  <si>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</si>
  <si>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</si>
  <si>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</si>
  <si>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</si>
  <si>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</si>
  <si>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</si>
  <si>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</si>
  <si>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</si>
  <si>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</si>
  <si>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</si>
  <si>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</si>
  <si>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</si>
  <si>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</si>
  <si>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</si>
  <si>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</si>
  <si>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</si>
  <si>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</si>
  <si>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</si>
  <si>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</si>
  <si>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</si>
  <si>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</si>
  <si>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</si>
  <si>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</si>
  <si>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</si>
  <si>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</si>
  <si>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</si>
  <si>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</si>
  <si>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</si>
  <si>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</si>
  <si>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</si>
  <si>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</si>
  <si>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</si>
  <si>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</si>
  <si>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</si>
  <si>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</si>
  <si>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</si>
  <si>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</si>
  <si>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</si>
  <si>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</si>
  <si>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</si>
  <si>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</si>
  <si>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</si>
  <si>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</si>
  <si>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</si>
  <si>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</si>
  <si>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</si>
  <si>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</si>
  <si>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</si>
  <si>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</si>
  <si>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</si>
  <si>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</si>
  <si>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</si>
  <si>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</si>
  <si>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</si>
  <si>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</si>
  <si>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</si>
  <si>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</si>
  <si>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</si>
  <si>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</si>
  <si>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</si>
  <si>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</si>
  <si>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</si>
  <si>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</si>
  <si>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</si>
  <si>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</si>
  <si>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</si>
  <si>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</si>
  <si>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</si>
  <si>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</si>
  <si>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</si>
  <si>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</si>
  <si>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</si>
  <si>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</si>
  <si>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</si>
  <si>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</si>
  <si>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</si>
  <si>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</si>
  <si>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</si>
  <si>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</si>
  <si>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</si>
  <si>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</si>
  <si>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</si>
  <si>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</si>
  <si>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</si>
  <si>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</si>
  <si>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</si>
  <si>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</si>
  <si>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</si>
  <si>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</si>
  <si>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</si>
  <si>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</si>
  <si>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</si>
  <si>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</si>
  <si>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</si>
  <si>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</si>
  <si>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</si>
  <si>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</si>
  <si>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</si>
  <si>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</si>
  <si>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</si>
  <si>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</si>
  <si>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</si>
  <si>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</si>
  <si>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</si>
  <si>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</si>
  <si>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</si>
  <si>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</si>
  <si>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</si>
  <si>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</si>
  <si>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</si>
  <si>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</si>
  <si>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</si>
  <si>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</si>
  <si>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</si>
  <si>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</si>
  <si>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</si>
  <si>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</si>
  <si>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</si>
  <si>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</si>
  <si>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</si>
  <si>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</si>
  <si>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</si>
  <si>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</si>
  <si>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</si>
  <si>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</si>
  <si>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</si>
  <si>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</si>
  <si>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</si>
  <si>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</si>
  <si>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</si>
  <si>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</si>
  <si>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</si>
  <si>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</si>
  <si>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</si>
  <si>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</si>
  <si>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</si>
  <si>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</si>
  <si>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</si>
  <si>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</si>
  <si>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</si>
  <si>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</si>
  <si>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</si>
  <si>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</si>
  <si>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</si>
  <si>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</si>
  <si>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</si>
  <si>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</si>
  <si>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</si>
  <si>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</si>
  <si>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</si>
  <si>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</si>
  <si>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</si>
  <si>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</si>
  <si>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</si>
  <si>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</si>
  <si>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</si>
  <si>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</si>
  <si>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</si>
  <si>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</si>
  <si>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</si>
  <si>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</si>
  <si>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</si>
  <si>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</si>
  <si>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</si>
  <si>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</si>
  <si>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</si>
  <si>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</si>
  <si>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</si>
  <si>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</si>
  <si>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</si>
  <si>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</si>
  <si>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</si>
  <si>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</si>
  <si>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</si>
  <si>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</si>
  <si>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</si>
  <si>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</si>
  <si>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</si>
  <si>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</si>
  <si>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</si>
  <si>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</si>
  <si>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</si>
  <si>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</si>
  <si>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</si>
  <si>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</si>
  <si>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</si>
  <si>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</si>
  <si>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</si>
  <si>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</si>
  <si>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</si>
  <si>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</si>
  <si>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</si>
  <si>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</si>
  <si>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</si>
  <si>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</si>
  <si>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</si>
  <si>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</si>
  <si>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</si>
  <si>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</si>
  <si>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</si>
  <si>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</si>
  <si>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</si>
  <si>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</si>
  <si>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</si>
  <si>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</si>
  <si>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</si>
  <si>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</si>
  <si>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</si>
  <si>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</si>
  <si>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</si>
  <si>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</si>
  <si>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</si>
  <si>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</si>
  <si>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</si>
  <si>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</si>
  <si>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</si>
  <si>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</si>
  <si>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</si>
  <si>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</si>
  <si>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</si>
  <si>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</si>
  <si>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</si>
  <si>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</si>
  <si>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</si>
  <si>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</si>
  <si>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</si>
  <si>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</si>
  <si>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</si>
  <si>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</si>
  <si>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</si>
  <si>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</si>
  <si>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</si>
  <si>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</si>
  <si>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</si>
  <si>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</si>
  <si>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</si>
  <si>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</si>
  <si>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</si>
  <si>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</si>
  <si>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</si>
  <si>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</si>
  <si>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</si>
  <si>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</si>
  <si>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</si>
  <si>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</si>
  <si>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</si>
  <si>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</si>
  <si>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</si>
  <si>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</si>
  <si>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</si>
  <si>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</si>
  <si>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</si>
  <si>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</si>
  <si>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</si>
  <si>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</si>
  <si>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</si>
  <si>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</si>
  <si>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</si>
  <si>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</si>
  <si>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</si>
  <si>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</si>
  <si>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</si>
  <si>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</si>
  <si>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</si>
  <si>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</si>
  <si>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</si>
  <si>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</si>
  <si>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</si>
  <si>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</si>
  <si>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</si>
  <si>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</si>
  <si>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</si>
  <si>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</si>
  <si>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</si>
  <si>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</si>
  <si>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</si>
  <si>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</si>
  <si>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</si>
  <si>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</si>
  <si>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</si>
  <si>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</si>
  <si>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</si>
  <si>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</si>
  <si>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</si>
  <si>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</si>
  <si>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</si>
  <si>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</si>
  <si>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</si>
  <si>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</si>
  <si>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</si>
  <si>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</si>
  <si>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</si>
  <si>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</si>
  <si>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</si>
  <si>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</si>
  <si>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</si>
  <si>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</si>
  <si>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</si>
  <si>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</si>
  <si>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</si>
  <si>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</si>
  <si>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</si>
  <si>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</si>
  <si>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</si>
  <si>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</si>
  <si>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</si>
  <si>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</si>
  <si>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</si>
  <si>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</si>
  <si>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</si>
  <si>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</si>
  <si>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</si>
  <si>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</si>
  <si>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</si>
  <si>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</si>
  <si>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</si>
  <si>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</si>
  <si>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</si>
  <si>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</si>
  <si>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</si>
  <si>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</si>
  <si>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</si>
  <si>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</si>
  <si>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</si>
  <si>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</si>
  <si>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</si>
  <si>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</si>
  <si>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</si>
  <si>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</si>
  <si>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</si>
  <si>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</si>
  <si>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</si>
  <si>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</si>
  <si>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</si>
  <si>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</si>
  <si>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</si>
  <si>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</si>
  <si>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</si>
  <si>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</si>
  <si>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</si>
  <si>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</si>
  <si>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</si>
  <si>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</si>
  <si>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</si>
  <si>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</si>
  <si>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</si>
  <si>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</si>
  <si>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</si>
  <si>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</si>
  <si>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</si>
  <si>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</si>
  <si>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</si>
  <si>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</si>
  <si>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</si>
  <si>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</si>
  <si>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</si>
  <si>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</si>
  <si>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</si>
  <si>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</si>
  <si>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</si>
  <si>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</si>
  <si>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</si>
  <si>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</si>
  <si>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</si>
  <si>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</si>
  <si>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</si>
  <si>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</si>
  <si>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</si>
  <si>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</si>
  <si>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</si>
  <si>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</si>
  <si>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</si>
  <si>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</si>
  <si>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</si>
  <si>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</si>
  <si>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</si>
  <si>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</si>
  <si>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</si>
  <si>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</si>
  <si>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</si>
  <si>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</si>
  <si>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</si>
  <si>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</si>
  <si>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</si>
  <si>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</si>
  <si>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</si>
  <si>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</si>
  <si>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</si>
  <si>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</si>
  <si>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</si>
  <si>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</si>
  <si>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</si>
  <si>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</si>
  <si>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</si>
  <si>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</si>
  <si>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</si>
  <si>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</si>
  <si>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</si>
  <si>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</si>
  <si>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</si>
  <si>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</si>
  <si>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</si>
  <si>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</si>
  <si>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</si>
  <si>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</si>
  <si>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</si>
  <si>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</si>
  <si>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</si>
  <si>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</si>
  <si>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</si>
  <si>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</si>
  <si>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</si>
  <si>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</si>
  <si>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</si>
  <si>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</si>
  <si>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</si>
  <si>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</si>
  <si>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</si>
  <si>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</si>
  <si>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</si>
  <si>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</si>
  <si>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</si>
  <si>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</si>
  <si>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</si>
  <si>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</si>
  <si>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</si>
  <si>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</si>
  <si>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</si>
  <si>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</si>
  <si>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</si>
  <si>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</si>
  <si>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</si>
  <si>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</si>
  <si>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</si>
  <si>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</si>
  <si>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</si>
  <si>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</si>
  <si>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</si>
  <si>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</si>
  <si>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</si>
  <si>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</si>
  <si>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</si>
  <si>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</si>
  <si>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</si>
  <si>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</si>
  <si>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</si>
  <si>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</si>
  <si>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</si>
  <si>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</si>
  <si>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</si>
  <si>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</si>
  <si>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</si>
  <si>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</si>
  <si>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</si>
  <si>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</si>
  <si>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</si>
  <si>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</si>
  <si>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</si>
  <si>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</si>
  <si>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</si>
  <si>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</si>
  <si>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</si>
  <si>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</si>
  <si>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</si>
  <si>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</si>
  <si>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</si>
  <si>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</si>
  <si>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</si>
  <si>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</si>
  <si>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</si>
  <si>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</si>
  <si>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</si>
  <si>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</si>
  <si>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</si>
  <si>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</si>
  <si>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</si>
  <si>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</si>
  <si>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</si>
  <si>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</si>
  <si>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</si>
  <si>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</si>
  <si>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</si>
  <si>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</si>
  <si>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</si>
  <si>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</si>
  <si>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</si>
  <si>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</si>
  <si>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</si>
  <si>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</si>
  <si>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</si>
  <si>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</si>
  <si>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</si>
  <si>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</si>
  <si>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</si>
  <si>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</si>
  <si>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</si>
  <si>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</si>
  <si>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</si>
  <si>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</si>
  <si>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</si>
  <si>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</si>
  <si>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</si>
  <si>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</si>
  <si>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</si>
  <si>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</si>
  <si>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</si>
  <si>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</si>
  <si>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</si>
  <si>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</si>
  <si>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</si>
  <si>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</si>
  <si>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</si>
  <si>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</si>
  <si>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</si>
  <si>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</si>
  <si>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</si>
  <si>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</si>
  <si>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</si>
  <si>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</si>
  <si>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</si>
  <si>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</si>
  <si>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</si>
  <si>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</si>
  <si>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</si>
  <si>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</si>
  <si>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</si>
  <si>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</si>
  <si>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</si>
  <si>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</si>
  <si>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</si>
  <si>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</si>
  <si>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</si>
  <si>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</si>
  <si>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</si>
  <si>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</si>
  <si>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</si>
  <si>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</si>
  <si>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</si>
  <si>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</si>
  <si>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</si>
  <si>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</si>
  <si>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</si>
  <si>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</si>
  <si>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</si>
  <si>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</si>
  <si>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</si>
  <si>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</si>
  <si>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</si>
  <si>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</si>
  <si>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</si>
  <si>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</si>
  <si>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</si>
  <si>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</si>
  <si>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</si>
  <si>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</si>
  <si>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</si>
  <si>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</si>
  <si>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</si>
  <si>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</si>
  <si>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</si>
  <si>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</si>
  <si>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</si>
  <si>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</si>
  <si>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</si>
  <si>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</si>
  <si>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</si>
  <si>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</si>
  <si>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</si>
  <si>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</si>
  <si>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</si>
  <si>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</si>
  <si>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</si>
  <si>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</si>
  <si>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</si>
  <si>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</si>
  <si>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</si>
  <si>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</si>
  <si>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</si>
  <si>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</si>
  <si>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</si>
  <si>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</si>
  <si>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</si>
  <si>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</si>
  <si>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</si>
  <si>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</si>
  <si>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</si>
  <si>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</si>
  <si>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</si>
  <si>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</si>
  <si>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</si>
  <si>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</si>
  <si>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</si>
  <si>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</si>
  <si>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</si>
  <si>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</si>
  <si>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</si>
  <si>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</si>
  <si>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</si>
  <si>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</si>
  <si>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</si>
  <si>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</si>
  <si>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</si>
  <si>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</si>
  <si>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</si>
  <si>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</si>
  <si>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</si>
  <si>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</si>
  <si>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</si>
  <si>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</si>
  <si>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</si>
  <si>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</si>
  <si>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</si>
  <si>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</si>
  <si>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</si>
  <si>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</si>
  <si>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</si>
  <si>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</si>
  <si>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</si>
  <si>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</si>
  <si>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</si>
  <si>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</si>
  <si>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</si>
  <si>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</si>
  <si>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</si>
  <si>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</si>
  <si>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</si>
  <si>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</si>
  <si>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</si>
  <si>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</si>
  <si>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</si>
  <si>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</si>
  <si>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</si>
  <si>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</si>
  <si>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</si>
  <si>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</si>
  <si>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</si>
  <si>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</si>
  <si>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</si>
  <si>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</si>
  <si>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</si>
  <si>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</si>
  <si>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</si>
  <si>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</si>
  <si>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</si>
  <si>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</si>
  <si>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</si>
  <si>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</si>
  <si>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</si>
  <si>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</si>
  <si>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</si>
  <si>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</si>
  <si>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</si>
  <si>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</si>
  <si>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</si>
  <si>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</si>
  <si>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</si>
  <si>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</si>
  <si>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</si>
  <si>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</si>
  <si>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</si>
  <si>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</si>
  <si>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</si>
  <si>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</si>
  <si>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</si>
  <si>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</si>
  <si>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</si>
  <si>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</si>
  <si>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</si>
  <si>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</si>
  <si>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</si>
  <si>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</si>
  <si>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</si>
  <si>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</si>
  <si>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</si>
  <si>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</si>
  <si>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</si>
  <si>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</si>
  <si>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</si>
  <si>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</si>
  <si>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</si>
  <si>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</si>
  <si>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</si>
  <si>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</si>
  <si>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</si>
  <si>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</si>
  <si>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</si>
  <si>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</si>
  <si>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</si>
  <si>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</si>
  <si>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</si>
  <si>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</si>
  <si>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</si>
  <si>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</si>
  <si>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</si>
  <si>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</si>
  <si>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</si>
  <si>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</si>
  <si>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</si>
  <si>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</si>
  <si>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</si>
  <si>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</si>
  <si>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</si>
  <si>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</si>
  <si>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</si>
  <si>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</si>
  <si>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</si>
  <si>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</si>
  <si>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</si>
  <si>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</si>
  <si>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</si>
  <si>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</si>
  <si>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</si>
  <si>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</si>
  <si>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</si>
  <si>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</si>
  <si>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</si>
  <si>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</si>
  <si>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</si>
  <si>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</si>
  <si>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</si>
  <si>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</si>
  <si>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</si>
  <si>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</si>
  <si>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</si>
  <si>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</si>
  <si>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</si>
  <si>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</si>
  <si>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</si>
  <si>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</si>
  <si>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</si>
  <si>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</si>
  <si>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</si>
  <si>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</si>
  <si>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</si>
  <si>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</si>
  <si>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</si>
  <si>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</si>
  <si>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</si>
  <si>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</si>
  <si>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</si>
  <si>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</si>
  <si>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</si>
  <si>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</si>
  <si>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</si>
  <si>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</si>
  <si>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</si>
  <si>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</si>
  <si>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</si>
  <si>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</si>
  <si>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</si>
  <si>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</si>
  <si>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</si>
  <si>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</si>
  <si>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</si>
  <si>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</si>
  <si>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</si>
  <si>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</si>
  <si>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</si>
  <si>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</si>
  <si>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</si>
  <si>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</si>
  <si>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</si>
  <si>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</si>
  <si>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</si>
  <si>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</si>
  <si>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</si>
  <si>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</si>
  <si>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</si>
  <si>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</si>
  <si>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</si>
  <si>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</si>
  <si>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</si>
  <si>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</si>
  <si>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</si>
  <si>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</si>
  <si>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</si>
  <si>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</si>
  <si>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</si>
  <si>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</si>
  <si>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</si>
  <si>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</si>
  <si>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</si>
  <si>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</si>
  <si>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</si>
  <si>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</si>
  <si>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</si>
  <si>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</si>
  <si>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</si>
  <si>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</si>
  <si>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</si>
  <si>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</si>
  <si>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</si>
  <si>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</si>
  <si>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</si>
  <si>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</si>
  <si>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</si>
  <si>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</si>
  <si>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</si>
  <si>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</si>
  <si>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</si>
  <si>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</si>
  <si>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</si>
  <si>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</si>
  <si>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</si>
  <si>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</si>
  <si>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</si>
  <si>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</si>
  <si>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</si>
  <si>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</si>
  <si>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</si>
  <si>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</si>
  <si>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</si>
  <si>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</si>
  <si>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</si>
  <si>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</si>
  <si>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</si>
  <si>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</si>
  <si>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</si>
  <si>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</si>
  <si>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</si>
  <si>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</si>
  <si>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</si>
  <si>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</si>
  <si>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</si>
  <si>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</si>
  <si>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</si>
  <si>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</si>
  <si>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</si>
  <si>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</si>
  <si>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</si>
  <si>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</si>
  <si>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</si>
  <si>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</si>
  <si>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</si>
  <si>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</si>
  <si>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</si>
  <si>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</si>
  <si>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</si>
  <si>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</si>
  <si>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</si>
  <si>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</si>
  <si>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</si>
  <si>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</si>
  <si>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</si>
  <si>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</si>
  <si>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</si>
  <si>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</si>
  <si>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</si>
  <si>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</si>
  <si>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</si>
  <si>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</si>
  <si>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</si>
  <si>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</si>
  <si>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</si>
  <si>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</si>
  <si>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</si>
  <si>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</si>
  <si>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</si>
  <si>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</si>
  <si>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</si>
  <si>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</si>
  <si>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</si>
  <si>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</si>
  <si>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</si>
  <si>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</si>
  <si>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</si>
  <si>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</si>
  <si>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</si>
  <si>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</si>
  <si>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</si>
  <si>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</si>
  <si>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</si>
  <si>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</si>
  <si>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</si>
  <si>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</si>
  <si>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</si>
  <si>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</si>
  <si>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</si>
  <si>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</si>
  <si>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</si>
  <si>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</si>
  <si>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</si>
  <si>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</si>
  <si>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</si>
  <si>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</si>
  <si>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</si>
  <si>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</si>
  <si>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</si>
  <si>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</si>
  <si>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</si>
  <si>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</si>
  <si>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</si>
  <si>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</si>
  <si>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</si>
  <si>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</si>
  <si>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</si>
  <si>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</si>
  <si>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</si>
  <si>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</si>
  <si>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</si>
  <si>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</si>
  <si>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</si>
  <si>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</si>
  <si>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</si>
  <si>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</si>
  <si>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</si>
  <si>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</si>
  <si>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</si>
  <si>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</si>
  <si>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</si>
  <si>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</si>
  <si>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</si>
  <si>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</si>
  <si>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</si>
  <si>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</si>
  <si>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</si>
  <si>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</si>
  <si>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</si>
  <si>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</si>
  <si>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</si>
  <si>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</si>
  <si>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</si>
  <si>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</si>
  <si>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</si>
  <si>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</si>
  <si>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</si>
  <si>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</si>
  <si>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</si>
  <si>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</si>
  <si>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</si>
  <si>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</si>
  <si>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</si>
  <si>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</si>
  <si>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</si>
  <si>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</si>
  <si>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</si>
  <si>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</si>
  <si>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</si>
  <si>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</si>
  <si>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</si>
  <si>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</si>
  <si>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</si>
  <si>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</si>
  <si>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</si>
  <si>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</si>
  <si>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</si>
  <si>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</si>
  <si>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</si>
  <si>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</si>
  <si>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</si>
  <si>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</si>
  <si>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</si>
  <si>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</si>
  <si>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</si>
  <si>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</si>
  <si>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</si>
  <si>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</si>
  <si>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</si>
  <si>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</si>
  <si>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</si>
  <si>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</si>
  <si>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</si>
  <si>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</si>
  <si>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</si>
  <si>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</si>
  <si>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</si>
  <si>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</si>
  <si>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</si>
  <si>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</si>
  <si>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</si>
  <si>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</si>
  <si>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</si>
  <si>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</si>
  <si>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</si>
  <si>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</si>
  <si>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</si>
  <si>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</si>
  <si>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</si>
  <si>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</si>
  <si>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</si>
  <si>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</si>
  <si>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</si>
  <si>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</si>
  <si>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</si>
  <si>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</si>
  <si>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</si>
  <si>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</si>
  <si>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</si>
  <si>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</si>
  <si>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</si>
  <si>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</si>
  <si>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</si>
  <si>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</si>
  <si>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</si>
  <si>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</si>
  <si>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</si>
  <si>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</si>
  <si>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</si>
  <si>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</si>
  <si>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Metric</t>
  </si>
  <si>
    <t>Value</t>
  </si>
  <si>
    <t>Count</t>
  </si>
  <si>
    <t>Median</t>
  </si>
  <si>
    <t>Average(Mean)</t>
  </si>
  <si>
    <t>Row Labels</t>
  </si>
  <si>
    <t>Grand Total</t>
  </si>
  <si>
    <t>Count of Product</t>
  </si>
  <si>
    <t>Sum of TotalPrice</t>
  </si>
  <si>
    <t>Sum of Quantity</t>
  </si>
  <si>
    <t>Maximum Total Price</t>
  </si>
  <si>
    <t>Minimum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</si>
</sst>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Ranjan" refreshedDate="46172.567347685188" createdVersion="8" refreshedVersion="8" minRefreshableVersion="3" recordCount="1200" xr:uid="{07D05508-2EF4-47FA-99B4-2EB05062354A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4T00:00:00" maxDate="2027-12-05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Ranjan" refreshedDate="46172.570549074073" createdVersion="8" refreshedVersion="8" minRefreshableVersion="3" recordCount="1201" xr:uid="{B1CA0ECC-BB3B-42E5-96BE-E0501F1CE3BE}">
  <cacheSource type="worksheet">
    <worksheetSource ref="A1:N1048576" sheet="Sheet1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4T00:00:00" maxDate="2027-12-05T00:00:00"/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8-24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4-08-2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4-08-26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4-08-27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4-08-28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4-08-29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4-08-30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4-08-3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4-09-01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9-02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09-03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4-09-04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4-09-05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4-09-06T00:00:00"/>
    <s v="C39416"/>
    <x v="4"/>
    <n v="1"/>
    <n v="473.96"/>
    <s v="942 Main St"/>
    <s v="Cash"/>
    <s v="Delivered"/>
    <s v="TRK54930938"/>
    <n v="3"/>
    <m/>
    <s v="Google"/>
    <n v="473.96"/>
  </r>
  <r>
    <s v="ORD200016"/>
    <d v="2024-09-07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9-08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4-09-09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4-09-10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4-09-11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09-12T00:00:00"/>
    <s v="C99023"/>
    <x v="0"/>
    <n v="4"/>
    <n v="342.95"/>
    <s v="569 Main St"/>
    <s v="Cash"/>
    <s v="Delivered"/>
    <s v="TRK52646983"/>
    <n v="6"/>
    <m/>
    <s v="Google"/>
    <n v="1371.8"/>
  </r>
  <r>
    <s v="ORD200022"/>
    <d v="2024-09-13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4-09-14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09-15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9-16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9-17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9-18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4-09-19T00:00:00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4-09-21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4-09-22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4-09-23T00:00:00"/>
    <s v="C12388"/>
    <x v="2"/>
    <n v="5"/>
    <n v="536.72"/>
    <s v="830 Main St"/>
    <s v="Cash"/>
    <s v="Delivered"/>
    <s v="TRK99261395"/>
    <n v="10"/>
    <m/>
    <s v="Email"/>
    <n v="2683.6"/>
  </r>
  <r>
    <s v="ORD200033"/>
    <d v="2024-09-24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4-09-25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09-26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4-09-27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09-28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09-2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4-09-30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4-10-01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4-10-02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10-03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4-10-0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4-10-05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10-06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10-07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4-10-08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4-10-09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4-10-10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4-10-1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0-12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10-13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10-14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4-10-15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4-10-16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4-10-17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4-10-18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4-10-19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10-20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10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10-22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4-10-23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4-10-24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4-10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4-10-26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0-27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0-28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4-10-29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4-10-30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4-10-31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4-11-01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1-0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4-11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4-11-0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d v="2024-11-05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11-06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11-07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11-08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4-11-09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4-11-10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4-11-11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11-12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4-11-13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4-11-14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11-15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11-16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1-17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4-11-18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4-11-19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4-11-20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4-11-21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11-22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4-11-23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4-11-24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4-11-25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11-26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4-11-27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4-11-28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4-11-29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4-11-30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4-12-01T00:00:00"/>
    <s v="C15283"/>
    <x v="4"/>
    <n v="1"/>
    <n v="381.02"/>
    <s v="152 Main St"/>
    <s v="Cash"/>
    <s v="Shipped"/>
    <s v="TRK19286291"/>
    <n v="6"/>
    <m/>
    <s v="Google"/>
    <n v="381.02"/>
  </r>
  <r>
    <s v="ORD200102"/>
    <d v="2024-12-02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4-12-03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12-04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2-05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4-12-06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4-12-0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0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4-12-09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12-10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4-12-11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4-12-12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12-13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4-12-14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4-12-15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4-12-16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4-12-17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4-12-18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4-12-19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4-12-20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4-12-21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12-22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4-12-23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12-24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2-25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4-12-26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4-12-27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4-12-28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4-12-29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4-12-30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4-12-31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5-01-01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1-02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1-03T00:00:00"/>
    <s v="C16253"/>
    <x v="5"/>
    <n v="2"/>
    <n v="199.7"/>
    <s v="583 Main St"/>
    <s v="Cash"/>
    <s v="Pending"/>
    <s v="TRK17354894"/>
    <n v="4"/>
    <m/>
    <s v="Email"/>
    <n v="399.4"/>
  </r>
  <r>
    <s v="ORD200135"/>
    <d v="2025-01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5-01-05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5-01-0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5-01-07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5-01-08T00:00:00"/>
    <s v="C61440"/>
    <x v="1"/>
    <n v="1"/>
    <n v="583.9"/>
    <s v="714 Main St"/>
    <s v="Cash"/>
    <s v="Returned"/>
    <s v="TRK33114521"/>
    <n v="1"/>
    <m/>
    <s v="Email"/>
    <n v="583.9"/>
  </r>
  <r>
    <s v="ORD200140"/>
    <d v="2025-01-09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5-01-10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5-01-11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5-01-12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5-01-13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5-01-14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1-15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1-1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5-01-17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5-01-18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5-01-19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5-01-20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21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5-01-22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5-01-23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5-01-24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5-01-25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1-26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5-01-27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5-01-28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5-01-29T00:00:00"/>
    <s v="C38669"/>
    <x v="0"/>
    <n v="4"/>
    <n v="101.32"/>
    <s v="240 Main St"/>
    <s v="Cash"/>
    <s v="Pending"/>
    <s v="TRK81738254"/>
    <n v="7"/>
    <m/>
    <s v="Referral"/>
    <n v="405.28"/>
  </r>
  <r>
    <s v="ORD200161"/>
    <d v="2025-01-30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5-01-31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2-01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5-02-02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5-02-03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2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5-02-05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2-06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d v="2025-02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2-08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5-02-09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2-10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5-02-11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5-02-12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13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2-14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5-02-1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5-02-16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5-02-17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5-02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d v="2025-02-19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2-20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5-02-21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5-02-22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23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5-02-24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5-02-25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2-26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5-02-27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5-02-28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1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5-03-02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5-03-03T00:00:00"/>
    <s v="C11644"/>
    <x v="4"/>
    <n v="1"/>
    <n v="46.66"/>
    <s v="429 Main St"/>
    <s v="Cash"/>
    <s v="Cancelled"/>
    <s v="TRK81320339"/>
    <n v="6"/>
    <m/>
    <s v="Google"/>
    <n v="46.66"/>
  </r>
  <r>
    <s v="ORD200194"/>
    <d v="2025-03-04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5-03-05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3-06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5-03-0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5-03-08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3-09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3-10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5-03-11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3-12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3-13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5-03-14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5-03-15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5-03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7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5-03-1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5-03-1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5-03-20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3-21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5-03-22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5-03-23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5-03-24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5-03-25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3-26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5-03-27T00:00:00"/>
    <s v="C61549"/>
    <x v="6"/>
    <n v="4"/>
    <n v="321.51"/>
    <s v="908 Main St"/>
    <s v="Cash"/>
    <s v="Returned"/>
    <s v="TRK65596914"/>
    <n v="9"/>
    <m/>
    <s v="Google"/>
    <n v="1286.04"/>
  </r>
  <r>
    <s v="ORD200218"/>
    <d v="2025-03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3-29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5-03-30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5-03-31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5-04-01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5-04-02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5-04-0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5-04-04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4-05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5-04-06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5-04-0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4-0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5-04-09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5-04-10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5-04-11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5-04-12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5-04-13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5-04-14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5-04-15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5-04-16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5-04-17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5-04-18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5-04-19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5-04-20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5-04-21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4-22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5-04-23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4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d v="2025-04-25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5-04-26T00:00:00"/>
    <s v="C14600"/>
    <x v="4"/>
    <n v="2"/>
    <n v="220.9"/>
    <s v="785 Main St"/>
    <s v="Gift Card"/>
    <s v="Shipped"/>
    <s v="TRK84984764"/>
    <n v="4"/>
    <m/>
    <s v="Email"/>
    <n v="441.8"/>
  </r>
  <r>
    <s v="ORD200248"/>
    <d v="2025-04-27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5-04-28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5-04-29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4-30T00:00:00"/>
    <s v="C93175"/>
    <x v="0"/>
    <n v="4"/>
    <n v="14.69"/>
    <s v="814 Main St"/>
    <s v="Cash"/>
    <s v="Cancelled"/>
    <s v="TRK32995144"/>
    <n v="9"/>
    <m/>
    <s v="Email"/>
    <n v="58.76"/>
  </r>
  <r>
    <s v="ORD200252"/>
    <d v="2025-05-01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5-05-02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5-05-03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5-05-04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5-05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5-05-06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5-05-07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5-05-08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5-05-09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10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5-05-11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5-05-12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5-05-1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5-05-14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5-05-15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5-16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5-05-17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5-05-18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5-05-19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5-05-20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5-05-21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5-05-22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5-05-23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5-05-2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5-25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5-05-26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5-05-27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5-05-28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5-05-29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5-05-30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5-31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6-01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5-06-02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03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6-04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5-06-05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5-06-06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5-06-07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5-06-08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5-06-09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6-10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5-06-11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6-12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5-06-13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5-06-14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5-06-15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5-06-16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5-06-17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5-06-18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5-06-19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5-06-20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5-06-21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5-06-22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5-06-23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5-06-24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5-06-25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5-06-26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5-06-27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5-06-28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6-29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6-30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5-07-01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5-07-02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7-03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5-07-04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5-07-05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5-07-06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5-07-07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5-07-08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5-07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5-07-10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7-11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5-07-12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5-07-13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5-07-14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5-07-1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5-07-16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5-07-17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5-07-18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5-07-19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5-07-20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5-07-21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5-07-22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7-2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5-07-24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5-07-25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5-07-26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5-07-27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5-07-28T00:00:00"/>
    <s v="C76207"/>
    <x v="5"/>
    <n v="5"/>
    <n v="521.25"/>
    <s v="826 Main St"/>
    <s v="Cash"/>
    <s v="Cancelled"/>
    <s v="TRK25569378"/>
    <n v="8"/>
    <m/>
    <s v="Email"/>
    <n v="2606.25"/>
  </r>
  <r>
    <s v="ORD200341"/>
    <d v="2025-07-29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7-30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5-07-31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8-01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5-08-02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5-08-03T00:00:00"/>
    <s v="C31764"/>
    <x v="2"/>
    <n v="1"/>
    <n v="655.09"/>
    <s v="876 Main St"/>
    <s v="Cash"/>
    <s v="Pending"/>
    <s v="TRK44680433"/>
    <n v="6"/>
    <m/>
    <s v="Referral"/>
    <n v="655.09"/>
  </r>
  <r>
    <s v="ORD200347"/>
    <d v="2025-08-04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5-08-05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5-08-06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5-08-07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8-08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5-08-09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8-10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5-08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8-12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5-08-13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5-08-14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5-08-15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5-08-16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5-08-17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5-08-18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5-08-19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5-08-20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5-08-21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8-22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5-08-23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5-08-24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5-08-25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5-08-26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8-27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5-08-28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8-29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5-08-30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5-08-31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9-01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5-09-02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5-09-03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5-09-04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5-09-05T00:00:00"/>
    <s v="C47284"/>
    <x v="1"/>
    <n v="3"/>
    <n v="297.67"/>
    <s v="500 Main St"/>
    <s v="Online"/>
    <s v="Shipped"/>
    <s v="TRK85756094"/>
    <n v="6"/>
    <m/>
    <s v="Google"/>
    <n v="893.01"/>
  </r>
  <r>
    <s v="ORD200380"/>
    <d v="2025-09-06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5-09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9-08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5-09-09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5-09-10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5-09-1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5-09-12T00:00:00"/>
    <s v="C12421"/>
    <x v="2"/>
    <n v="1"/>
    <n v="93.02"/>
    <s v="373 Main St"/>
    <s v="Online"/>
    <s v="Returned"/>
    <s v="TRK32588504"/>
    <n v="4"/>
    <m/>
    <s v="Email"/>
    <n v="93.02"/>
  </r>
  <r>
    <s v="ORD200387"/>
    <d v="2025-09-13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5-09-14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5-09-15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5-09-16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9-17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5-09-1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5-09-19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5-09-20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9-21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5-09-22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5-09-23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5-09-2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5-09-25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5-09-26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9-27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5-09-28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5-09-29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5-09-30T00:00:00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10-01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5-10-02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5-10-0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10-04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5-10-05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5-10-06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5-10-07T00:00:00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10-08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5-10-09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10-10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10-11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5-10-12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5-10-13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d v="2025-10-14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5-10-15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5-10-16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5-10-17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5-10-18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5-10-19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5-10-20T00:00:00"/>
    <s v="C49491"/>
    <x v="3"/>
    <n v="5"/>
    <n v="22.94"/>
    <s v="339 Main St"/>
    <s v="Cash"/>
    <s v="Pending"/>
    <s v="TRK64012257"/>
    <n v="10"/>
    <m/>
    <s v="Email"/>
    <n v="114.7"/>
  </r>
  <r>
    <s v="ORD200425"/>
    <d v="2025-10-21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10-22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5-10-23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5-10-24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5-10-25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5-10-26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5-10-27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5-10-28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5-10-29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5-10-30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5-10-31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5-11-0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d v="2025-11-02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1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5-11-04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5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5-11-06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5-11-07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5-11-08T00:00:00"/>
    <s v="C61668"/>
    <x v="3"/>
    <n v="2"/>
    <n v="69.64"/>
    <s v="813 Main St"/>
    <s v="Cash"/>
    <s v="Returned"/>
    <s v="TRK58970302"/>
    <n v="6"/>
    <m/>
    <s v="Facebook"/>
    <n v="139.28"/>
  </r>
  <r>
    <s v="ORD200444"/>
    <d v="2025-11-09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5-11-10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5-11-11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5-11-12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d v="2025-11-13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5-11-14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5-1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5-11-16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5-11-17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11-18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5-11-19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5-11-20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5-11-21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11-22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5-11-23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5-11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5-11-25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5-11-26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11-27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5-11-28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5-11-29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5-11-30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5-12-01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5-12-02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12-03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5-12-04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5-12-05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12-06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5-12-07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12-08T00:00:00"/>
    <s v="C28552"/>
    <x v="3"/>
    <n v="2"/>
    <n v="14.93"/>
    <s v="449 Main St"/>
    <s v="Online"/>
    <s v="Shipped"/>
    <s v="TRK71597160"/>
    <n v="4"/>
    <m/>
    <s v="Facebook"/>
    <n v="29.86"/>
  </r>
  <r>
    <s v="ORD200474"/>
    <d v="2025-12-09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12-10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5-12-11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12-12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5-12-13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5-12-14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5-12-15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5-12-16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12-17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5-12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5-12-1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d v="2025-12-20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5-12-21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5-12-22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5-12-23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5-12-24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5-12-25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5-12-26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5-12-27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12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5-12-2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12-30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12-31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6-01-01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6-01-0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6-01-03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6-01-04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6-01-05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6-01-06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6-01-07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6-01-08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6-01-09T00:00:00"/>
    <s v="C36014"/>
    <x v="4"/>
    <n v="2"/>
    <n v="434.97"/>
    <s v="558 Main St"/>
    <s v="Online"/>
    <s v="Shipped"/>
    <s v="TRK97246526"/>
    <n v="7"/>
    <m/>
    <s v="Email"/>
    <n v="869.94"/>
  </r>
  <r>
    <s v="ORD200506"/>
    <d v="2026-01-10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6-01-11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6-01-12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6-01-13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6-01-14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6-01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6-01-16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6-01-17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6-01-18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6-01-19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6-01-20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d v="2026-01-21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6-01-22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6-01-23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6-01-24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6-01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6-01-26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6-01-27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6-01-28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6-01-29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6-01-30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6-01-31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6-02-01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6-02-02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6-02-03T00:00:00"/>
    <s v="C98450"/>
    <x v="3"/>
    <n v="4"/>
    <n v="89.41"/>
    <s v="613 Main St"/>
    <s v="Online"/>
    <s v="Pending"/>
    <s v="TRK14809530"/>
    <n v="9"/>
    <m/>
    <s v="Google"/>
    <n v="357.64"/>
  </r>
  <r>
    <s v="ORD200531"/>
    <d v="2026-02-04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6-02-05T00:00:00"/>
    <s v="C47365"/>
    <x v="5"/>
    <n v="2"/>
    <n v="41"/>
    <s v="369 Main St"/>
    <s v="Online"/>
    <s v="Delivered"/>
    <s v="TRK42207882"/>
    <n v="7"/>
    <m/>
    <s v="Email"/>
    <n v="82"/>
  </r>
  <r>
    <s v="ORD200533"/>
    <d v="2026-02-06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6-02-07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6-02-08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6-02-09T00:00:00"/>
    <s v="C18724"/>
    <x v="3"/>
    <n v="1"/>
    <n v="616.1"/>
    <s v="124 Main St"/>
    <s v="Cash"/>
    <s v="Returned"/>
    <s v="TRK52508861"/>
    <n v="6"/>
    <m/>
    <s v="Email"/>
    <n v="616.1"/>
  </r>
  <r>
    <s v="ORD200537"/>
    <d v="2026-02-10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6-02-11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6-02-12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6-02-13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6-02-14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6-02-15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6-02-16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6-02-17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6-02-18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d v="2026-02-19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6-02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6-02-21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6-02-22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6-02-23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6-02-24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6-02-25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6-02-26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6-02-27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6-02-28T00:00:00"/>
    <s v="C88933"/>
    <x v="2"/>
    <n v="1"/>
    <n v="92.04"/>
    <s v="333 Main St"/>
    <s v="Cash"/>
    <s v="Shipped"/>
    <s v="TRK89306964"/>
    <n v="2"/>
    <m/>
    <s v="Facebook"/>
    <n v="92.04"/>
  </r>
  <r>
    <s v="ORD200556"/>
    <d v="2026-03-01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6-03-02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6-03-03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6-03-04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6-03-05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6-03-06T00:00:00"/>
    <s v="C96822"/>
    <x v="4"/>
    <n v="2"/>
    <n v="494.78"/>
    <s v="198 Main St"/>
    <s v="Online"/>
    <s v="Shipped"/>
    <s v="TRK89180077"/>
    <n v="2"/>
    <m/>
    <s v="Google"/>
    <n v="989.56"/>
  </r>
  <r>
    <s v="ORD200562"/>
    <d v="2026-03-07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6-03-08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6-03-09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6-03-10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6-03-11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6-03-12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6-03-13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6-03-14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6-03-15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6-03-16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6-03-17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6-03-18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6-03-19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6-03-20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6-03-21T00:00:00"/>
    <s v="C14457"/>
    <x v="5"/>
    <n v="5"/>
    <n v="79.08"/>
    <s v="747 Main St"/>
    <s v="Cash"/>
    <s v="Pending"/>
    <s v="TRK42517811"/>
    <n v="8"/>
    <m/>
    <s v="Facebook"/>
    <n v="395.4"/>
  </r>
  <r>
    <s v="ORD200577"/>
    <d v="2026-03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6-03-23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6-03-2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6-03-25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6-03-26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6-03-27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6-03-28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6-03-29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6-03-3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6-03-31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6-04-01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6-04-02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6-04-03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6-04-04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6-04-05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6-04-06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6-04-07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6-04-08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6-04-09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6-04-10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6-04-11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6-04-12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6-04-13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6-04-14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6-04-15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6-04-16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6-04-17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6-04-18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6-04-19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6-04-20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6-04-2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6-04-22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6-04-23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6-04-24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6-04-25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6-04-26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6-04-27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6-04-2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6-04-29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6-04-30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6-05-01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6-05-02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6-05-03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6-05-04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6-05-05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6-05-06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6-05-07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6-05-08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6-05-09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6-05-10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6-05-11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6-05-12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6-05-13T00:00:00"/>
    <s v="C50137"/>
    <x v="1"/>
    <n v="3"/>
    <n v="19.73"/>
    <s v="840 Main St"/>
    <s v="Online"/>
    <s v="Pending"/>
    <s v="TRK91836131"/>
    <n v="3"/>
    <m/>
    <s v="Referral"/>
    <n v="59.19"/>
  </r>
  <r>
    <s v="ORD200630"/>
    <d v="2026-05-14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6-05-15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6-05-16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6-05-17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6-05-18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6-05-19T00:00:00"/>
    <s v="C12818"/>
    <x v="3"/>
    <n v="3"/>
    <n v="63.68"/>
    <s v="434 Main St"/>
    <s v="Cash"/>
    <s v="Returned"/>
    <s v="TRK40879983"/>
    <n v="6"/>
    <m/>
    <s v="Facebook"/>
    <n v="191.04"/>
  </r>
  <r>
    <s v="ORD200636"/>
    <d v="2026-05-20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6-05-21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6-05-22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6-05-23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6-05-24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6-05-25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6-05-26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6-05-27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6-05-28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6-05-29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6-05-30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6-05-31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6-06-01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6-06-02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6-06-03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6-06-04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6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6-06-06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6-06-07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6-06-08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6-06-09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6-06-10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6-06-11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6-06-12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6-06-13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6-06-14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6-06-15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6-06-16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6-06-17T00:00:00"/>
    <s v="C14847"/>
    <x v="5"/>
    <n v="4"/>
    <n v="194.75"/>
    <s v="188 Main St"/>
    <s v="Cash"/>
    <s v="Shipped"/>
    <s v="TRK46492755"/>
    <n v="5"/>
    <m/>
    <s v="Facebook"/>
    <n v="779"/>
  </r>
  <r>
    <s v="ORD200665"/>
    <d v="2026-06-18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6-06-19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6-06-20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6-06-21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6-06-22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6-06-23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6-06-24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6-06-25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6-06-26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6-06-27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6-06-28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6-06-29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6-06-30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6-07-01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6-07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6-07-03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6-07-04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6-07-05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6-07-06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6-07-07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6-07-08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6-07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6-07-10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6-07-11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6-07-12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6-07-13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6-07-14T00:00:00"/>
    <s v="C36137"/>
    <x v="5"/>
    <n v="3"/>
    <n v="239.08"/>
    <s v="396 Main St"/>
    <s v="Cash"/>
    <s v="Shipped"/>
    <s v="TRK57376416"/>
    <n v="8"/>
    <m/>
    <s v="Google"/>
    <n v="717.24"/>
  </r>
  <r>
    <s v="ORD200692"/>
    <d v="2026-07-15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6-07-16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6-07-17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6-07-18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6-07-19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6-07-20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6-07-21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6-07-22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6-07-23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6-07-24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6-07-25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6-07-26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6-07-27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6-07-28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6-07-29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6-07-30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6-07-31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6-08-01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6-08-0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6-08-03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6-08-04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6-08-05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6-08-06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6-08-07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6-08-08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6-08-09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6-08-10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6-08-1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6-08-12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6-08-13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6-08-14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6-08-15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6-08-16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6-08-17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6-08-18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6-08-1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6-08-20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6-08-21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6-08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6-08-23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6-08-24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6-08-25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6-08-26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6-08-27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6-08-28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6-08-29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6-08-30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6-08-31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6-09-01T00:00:00"/>
    <s v="C10892"/>
    <x v="6"/>
    <n v="2"/>
    <n v="377.47"/>
    <s v="433 Main St"/>
    <s v="Cash"/>
    <s v="Pending"/>
    <s v="TRK76154554"/>
    <n v="7"/>
    <m/>
    <s v="Google"/>
    <n v="754.94"/>
  </r>
  <r>
    <s v="ORD200741"/>
    <d v="2026-09-02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6-09-03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6-09-04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6-09-05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6-09-06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6-09-07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6-09-08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6-09-09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6-09-10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6-09-11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6-09-12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6-09-1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6-09-1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6-09-15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6-09-16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6-09-1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6-09-18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6-09-19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6-09-20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6-09-21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6-09-2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6-09-23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6-09-24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6-09-25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6-09-2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6-09-27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6-09-2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6-09-29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6-09-30T00:00:00"/>
    <s v="C13366"/>
    <x v="4"/>
    <n v="4"/>
    <n v="678.55"/>
    <s v="568 Main St"/>
    <s v="Cash"/>
    <s v="Delivered"/>
    <s v="TRK98691410"/>
    <n v="5"/>
    <m/>
    <s v="Email"/>
    <n v="2714.2"/>
  </r>
  <r>
    <s v="ORD200770"/>
    <d v="2026-10-0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d v="2026-10-0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6-10-03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6-10-04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6-10-0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6-10-06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6-10-07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6-10-08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6-10-09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6-10-10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6-10-1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6-10-12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6-10-13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6-10-14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6-10-15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6-10-16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6-10-17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6-10-18T00:00:00"/>
    <s v="C18167"/>
    <x v="6"/>
    <n v="4"/>
    <n v="221.96"/>
    <s v="193 Main St"/>
    <s v="Cash"/>
    <s v="Delivered"/>
    <s v="TRK36841089"/>
    <n v="7"/>
    <m/>
    <s v="Google"/>
    <n v="887.84"/>
  </r>
  <r>
    <s v="ORD200788"/>
    <d v="2026-10-19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6-10-20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6-10-21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6-10-22T00:00:00"/>
    <s v="C49710"/>
    <x v="3"/>
    <n v="4"/>
    <n v="409.28"/>
    <s v="956 Main St"/>
    <s v="Cash"/>
    <s v="Pending"/>
    <s v="TRK92591237"/>
    <n v="8"/>
    <m/>
    <s v="Email"/>
    <n v="1637.12"/>
  </r>
  <r>
    <s v="ORD200792"/>
    <d v="2026-10-23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6-10-24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6-10-25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6-10-26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6-10-27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6-10-28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6-10-2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6-10-30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6-10-31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6-11-01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6-11-02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6-11-03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6-11-04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6-11-0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6-11-06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6-11-07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6-11-08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6-11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6-11-10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6-11-11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6-11-12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6-11-13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6-11-14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6-11-15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6-11-16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6-11-17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6-11-18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6-11-19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6-11-20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6-11-21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6-11-22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6-11-23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6-11-24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6-11-25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6-11-26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6-11-27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6-11-28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6-11-29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6-11-30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6-12-01T00:00:00"/>
    <s v="C20124"/>
    <x v="4"/>
    <n v="2"/>
    <n v="88.73"/>
    <s v="140 Main St"/>
    <s v="Online"/>
    <s v="Pending"/>
    <s v="TRK61346824"/>
    <n v="5"/>
    <m/>
    <s v="Google"/>
    <n v="177.46"/>
  </r>
  <r>
    <s v="ORD200832"/>
    <d v="2026-12-0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6-12-03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6-12-04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d v="2026-12-05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6-12-06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6-12-07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6-12-08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6-12-09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6-12-10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6-12-11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6-12-12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6-12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6-12-1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6-12-15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6-12-16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6-12-17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6-12-18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6-12-1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6-12-20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6-12-21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6-12-22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6-12-23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6-12-24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6-12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6-12-26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6-12-27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6-12-28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6-12-29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6-12-30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6-12-31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7-01-01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7-01-02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7-01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7-01-04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7-01-05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7-01-0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7-01-07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7-01-08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7-01-09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7-01-10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7-01-11T00:00:00"/>
    <s v="C59169"/>
    <x v="3"/>
    <n v="4"/>
    <n v="629.34"/>
    <s v="172 Main St"/>
    <s v="Cash"/>
    <s v="Shipped"/>
    <s v="TRK90883858"/>
    <n v="7"/>
    <m/>
    <s v="Email"/>
    <n v="2517.36"/>
  </r>
  <r>
    <s v="ORD200873"/>
    <d v="2027-01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7-01-13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7-01-14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7-01-15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7-01-16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7-01-17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7-01-1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7-01-19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7-01-20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7-01-21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7-01-22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7-01-23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7-01-24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7-01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7-01-26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7-01-27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7-01-28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7-01-29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7-01-30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7-01-31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7-02-0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7-02-02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7-02-03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7-02-04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7-02-05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7-02-06T00:00:00"/>
    <s v="C44619"/>
    <x v="0"/>
    <n v="3"/>
    <n v="158.37"/>
    <s v="742 Main St"/>
    <s v="Cash"/>
    <s v="Shipped"/>
    <s v="TRK66662528"/>
    <n v="6"/>
    <m/>
    <s v="Referral"/>
    <n v="475.11"/>
  </r>
  <r>
    <s v="ORD200899"/>
    <d v="2027-02-07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7-02-08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7-02-09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7-02-10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7-02-11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7-02-12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7-02-1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7-02-14T00:00:00"/>
    <s v="C49938"/>
    <x v="0"/>
    <n v="1"/>
    <n v="62.12"/>
    <s v="141 Main St"/>
    <s v="Cash"/>
    <s v="Returned"/>
    <s v="TRK80175572"/>
    <n v="2"/>
    <m/>
    <s v="Email"/>
    <n v="62.12"/>
  </r>
  <r>
    <s v="ORD200907"/>
    <d v="2027-02-15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7-02-1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7-02-1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7-02-18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7-02-19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7-02-20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7-02-21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7-02-22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7-02-23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7-02-24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7-02-25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7-02-26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7-02-2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7-02-28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7-03-01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7-03-02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7-03-03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7-03-04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7-03-05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7-03-06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7-03-07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7-03-08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7-03-09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7-03-10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7-03-1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7-03-12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7-03-13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7-03-14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7-03-15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7-03-16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7-03-17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7-03-18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7-03-19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7-03-20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7-03-21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7-03-22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7-03-23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7-03-24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7-03-25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7-03-26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7-03-2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7-03-28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7-03-2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d v="2027-03-30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7-03-31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7-04-01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7-04-02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7-04-03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7-04-04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7-04-05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7-04-06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7-04-07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7-04-08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7-04-09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7-04-10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7-04-11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7-04-12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7-04-13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7-04-14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7-04-15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7-04-1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7-04-17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7-04-18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7-04-19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7-04-20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7-04-21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7-04-22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7-04-23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7-04-24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7-04-25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7-04-26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7-04-27T00:00:00"/>
    <s v="C41508"/>
    <x v="4"/>
    <n v="4"/>
    <n v="107.49"/>
    <s v="993 Main St"/>
    <s v="Cash"/>
    <s v="Delivered"/>
    <s v="TRK61047536"/>
    <n v="5"/>
    <m/>
    <s v="Google"/>
    <n v="429.96"/>
  </r>
  <r>
    <s v="ORD200979"/>
    <d v="2027-04-28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7-04-29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7-04-30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7-05-01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7-05-02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7-05-03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7-05-04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7-05-05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7-05-06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7-05-07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7-05-08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7-05-0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7-05-10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7-05-11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7-05-12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7-05-13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7-05-14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7-05-15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7-05-16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7-05-17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7-05-18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7-05-19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7-05-20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7-05-21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7-05-22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7-05-23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7-05-24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7-05-25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7-05-26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7-05-27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7-05-28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7-05-29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7-05-30T00:00:00"/>
    <s v="C47823"/>
    <x v="1"/>
    <n v="2"/>
    <n v="478.36"/>
    <s v="654 Main St"/>
    <s v="Online"/>
    <s v="Shipped"/>
    <s v="TRK22271097"/>
    <n v="3"/>
    <m/>
    <s v="Google"/>
    <n v="956.72"/>
  </r>
  <r>
    <s v="ORD201012"/>
    <d v="2027-05-31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d v="2027-06-01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7-06-02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7-06-03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7-06-04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7-06-0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7-06-06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7-06-07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7-06-08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7-06-09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7-06-10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7-06-11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7-06-12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7-06-13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7-06-14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7-06-15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7-06-16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7-06-17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7-06-18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7-06-19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7-06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7-06-21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7-06-22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7-06-23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7-06-24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7-06-25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7-06-26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7-06-27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7-06-28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7-06-29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7-06-30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7-07-0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7-07-0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7-07-03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7-07-04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7-07-05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7-07-06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7-07-07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7-07-08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d v="2027-07-09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7-07-10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7-07-11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7-07-12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7-07-1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7-07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7-07-15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7-07-16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7-07-17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7-07-18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7-07-1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7-07-20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7-07-21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7-07-2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7-07-23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7-07-24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7-07-25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7-07-26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7-07-27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7-07-28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7-07-29T00:00:00"/>
    <s v="C94037"/>
    <x v="1"/>
    <n v="2"/>
    <n v="255.14"/>
    <s v="216 Main St"/>
    <s v="Cash"/>
    <s v="Shipped"/>
    <s v="TRK47536985"/>
    <n v="2"/>
    <m/>
    <s v="Google"/>
    <n v="510.28"/>
  </r>
  <r>
    <s v="ORD201072"/>
    <d v="2027-07-30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7-07-3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7-08-01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d v="2027-08-02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7-08-03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d v="2027-08-04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7-08-05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7-08-06T00:00:00"/>
    <s v="C89979"/>
    <x v="1"/>
    <n v="5"/>
    <n v="634"/>
    <s v="144 Main St"/>
    <s v="Gift Card"/>
    <s v="Delivered"/>
    <s v="TRK99055909"/>
    <n v="8"/>
    <m/>
    <s v="Email"/>
    <n v="3170"/>
  </r>
  <r>
    <s v="ORD201080"/>
    <d v="2027-08-07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7-08-08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7-08-09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7-08-10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7-08-11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7-08-12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7-08-1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7-08-14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7-08-15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7-08-16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7-08-17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7-08-1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7-08-19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7-08-20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7-08-21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7-08-22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7-08-2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7-08-24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7-08-25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7-08-26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7-08-2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7-08-2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7-08-29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7-08-30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7-08-31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7-09-01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7-09-0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7-09-03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7-09-04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7-09-05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7-09-06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7-09-07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7-09-08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7-09-0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d v="2027-09-10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7-09-11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d v="2027-09-12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7-09-13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7-09-1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7-09-15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7-09-16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7-09-17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7-09-18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7-09-19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7-09-20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7-09-21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7-09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7-09-23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7-09-24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7-09-25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7-09-2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7-09-27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7-09-28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7-09-2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7-09-30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7-10-01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7-10-02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7-10-03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7-10-04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7-10-05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7-10-06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7-10-07T00:00:00"/>
    <s v="C11998"/>
    <x v="3"/>
    <n v="3"/>
    <n v="498.66"/>
    <s v="382 Main St"/>
    <s v="Cash"/>
    <s v="Cancelled"/>
    <s v="TRK26707221"/>
    <n v="6"/>
    <m/>
    <s v="Email"/>
    <n v="1495.98"/>
  </r>
  <r>
    <s v="ORD201142"/>
    <d v="2027-10-08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7-10-09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7-10-10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7-10-11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7-10-12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7-10-13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7-10-14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7-10-1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7-10-16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7-10-17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d v="2027-10-18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7-10-19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7-10-20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7-10-21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7-10-22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7-10-23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7-10-24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7-10-25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7-10-26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7-10-27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7-10-28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7-10-29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7-10-30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7-10-31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7-11-0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7-11-02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7-11-03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7-11-04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7-11-05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7-11-06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7-11-07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7-11-08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7-11-09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7-11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7-11-11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7-11-12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7-11-13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7-11-14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7-11-15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7-11-16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7-11-17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7-11-18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7-11-19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7-11-20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7-11-21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7-11-22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7-11-23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7-11-24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7-11-25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7-11-26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7-11-27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7-11-28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7-11-2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7-11-3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7-12-01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7-12-02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7-12-03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7-12-04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8-24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4-08-2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4-08-26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4-08-27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4-08-28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4-08-29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4-08-30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4-08-3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4-09-01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9-02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09-03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4-09-04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4-09-05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4-09-06T00:00:00"/>
    <s v="C39416"/>
    <x v="4"/>
    <n v="1"/>
    <n v="473.96"/>
    <s v="942 Main St"/>
    <s v="Cash"/>
    <s v="Delivered"/>
    <s v="TRK54930938"/>
    <n v="3"/>
    <m/>
    <s v="Google"/>
    <n v="473.96"/>
  </r>
  <r>
    <s v="ORD200016"/>
    <d v="2024-09-07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9-08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4-09-09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4-09-10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4-09-11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09-12T00:00:00"/>
    <s v="C99023"/>
    <x v="0"/>
    <n v="4"/>
    <n v="342.95"/>
    <s v="569 Main St"/>
    <s v="Cash"/>
    <s v="Delivered"/>
    <s v="TRK52646983"/>
    <n v="6"/>
    <m/>
    <s v="Google"/>
    <n v="1371.8"/>
  </r>
  <r>
    <s v="ORD200022"/>
    <d v="2024-09-13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4-09-14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09-15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9-16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9-17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9-18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4-09-19T00:00:00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4-09-21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4-09-22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4-09-23T00:00:00"/>
    <s v="C12388"/>
    <x v="2"/>
    <n v="5"/>
    <n v="536.72"/>
    <s v="830 Main St"/>
    <s v="Cash"/>
    <s v="Delivered"/>
    <s v="TRK99261395"/>
    <n v="10"/>
    <m/>
    <s v="Email"/>
    <n v="2683.6"/>
  </r>
  <r>
    <s v="ORD200033"/>
    <d v="2024-09-24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4-09-25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09-26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4-09-27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09-28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09-2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4-09-30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4-10-01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4-10-02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10-03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4-10-0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4-10-05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10-06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10-07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4-10-08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4-10-09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4-10-10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4-10-1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0-12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10-13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10-14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4-10-15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4-10-16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4-10-17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4-10-18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4-10-19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10-20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10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10-22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4-10-23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4-10-24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4-10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4-10-26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0-27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0-28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4-10-29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4-10-30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4-10-31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4-11-01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1-0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4-11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4-11-0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d v="2024-11-05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11-06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11-07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11-08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4-11-09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4-11-10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4-11-11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11-12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4-11-13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4-11-14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11-15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11-16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1-17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4-11-18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4-11-19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4-11-20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4-11-21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11-22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4-11-23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4-11-24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4-11-25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11-26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4-11-27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4-11-28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4-11-29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4-11-30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4-12-01T00:00:00"/>
    <s v="C15283"/>
    <x v="4"/>
    <n v="1"/>
    <n v="381.02"/>
    <s v="152 Main St"/>
    <s v="Cash"/>
    <s v="Shipped"/>
    <s v="TRK19286291"/>
    <n v="6"/>
    <m/>
    <s v="Google"/>
    <n v="381.02"/>
  </r>
  <r>
    <s v="ORD200102"/>
    <d v="2024-12-02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4-12-03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12-04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2-05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4-12-06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4-12-0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0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4-12-09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12-10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4-12-11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4-12-12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12-13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4-12-14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4-12-15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4-12-16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4-12-17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4-12-18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4-12-19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4-12-20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4-12-21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12-22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4-12-23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12-24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2-25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4-12-26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4-12-27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4-12-28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4-12-29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4-12-30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4-12-31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5-01-01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1-02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1-03T00:00:00"/>
    <s v="C16253"/>
    <x v="5"/>
    <n v="2"/>
    <n v="199.7"/>
    <s v="583 Main St"/>
    <s v="Cash"/>
    <s v="Pending"/>
    <s v="TRK17354894"/>
    <n v="4"/>
    <m/>
    <s v="Email"/>
    <n v="399.4"/>
  </r>
  <r>
    <s v="ORD200135"/>
    <d v="2025-01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5-01-05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5-01-0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5-01-07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5-01-08T00:00:00"/>
    <s v="C61440"/>
    <x v="1"/>
    <n v="1"/>
    <n v="583.9"/>
    <s v="714 Main St"/>
    <s v="Cash"/>
    <s v="Returned"/>
    <s v="TRK33114521"/>
    <n v="1"/>
    <m/>
    <s v="Email"/>
    <n v="583.9"/>
  </r>
  <r>
    <s v="ORD200140"/>
    <d v="2025-01-09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5-01-10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5-01-11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5-01-12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5-01-13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5-01-14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1-15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1-1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5-01-17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5-01-18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5-01-19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5-01-20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21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5-01-22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5-01-23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5-01-24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5-01-25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1-26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5-01-27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5-01-28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5-01-29T00:00:00"/>
    <s v="C38669"/>
    <x v="0"/>
    <n v="4"/>
    <n v="101.32"/>
    <s v="240 Main St"/>
    <s v="Cash"/>
    <s v="Pending"/>
    <s v="TRK81738254"/>
    <n v="7"/>
    <m/>
    <s v="Referral"/>
    <n v="405.28"/>
  </r>
  <r>
    <s v="ORD200161"/>
    <d v="2025-01-30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5-01-31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2-01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5-02-02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5-02-03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2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5-02-05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2-06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d v="2025-02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2-08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5-02-09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2-10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5-02-11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5-02-12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13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2-14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5-02-1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5-02-16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5-02-17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5-02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d v="2025-02-19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2-20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5-02-21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5-02-22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23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5-02-24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5-02-25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2-26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5-02-27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5-02-28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1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5-03-02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5-03-03T00:00:00"/>
    <s v="C11644"/>
    <x v="4"/>
    <n v="1"/>
    <n v="46.66"/>
    <s v="429 Main St"/>
    <s v="Cash"/>
    <s v="Cancelled"/>
    <s v="TRK81320339"/>
    <n v="6"/>
    <m/>
    <s v="Google"/>
    <n v="46.66"/>
  </r>
  <r>
    <s v="ORD200194"/>
    <d v="2025-03-04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5-03-05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3-06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5-03-0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5-03-08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3-09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3-10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5-03-11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3-12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3-13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5-03-14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5-03-15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5-03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7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5-03-1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5-03-1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5-03-20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3-21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5-03-22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5-03-23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5-03-24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5-03-25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3-26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5-03-27T00:00:00"/>
    <s v="C61549"/>
    <x v="6"/>
    <n v="4"/>
    <n v="321.51"/>
    <s v="908 Main St"/>
    <s v="Cash"/>
    <s v="Returned"/>
    <s v="TRK65596914"/>
    <n v="9"/>
    <m/>
    <s v="Google"/>
    <n v="1286.04"/>
  </r>
  <r>
    <s v="ORD200218"/>
    <d v="2025-03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3-29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5-03-30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5-03-31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5-04-01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5-04-02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5-04-0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5-04-04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4-05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5-04-06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5-04-0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4-0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5-04-09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5-04-10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5-04-11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5-04-12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5-04-13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5-04-14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5-04-15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5-04-16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5-04-17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5-04-18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5-04-19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5-04-20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5-04-21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4-22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5-04-23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4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d v="2025-04-25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5-04-26T00:00:00"/>
    <s v="C14600"/>
    <x v="4"/>
    <n v="2"/>
    <n v="220.9"/>
    <s v="785 Main St"/>
    <s v="Gift Card"/>
    <s v="Shipped"/>
    <s v="TRK84984764"/>
    <n v="4"/>
    <m/>
    <s v="Email"/>
    <n v="441.8"/>
  </r>
  <r>
    <s v="ORD200248"/>
    <d v="2025-04-27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5-04-28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5-04-29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4-30T00:00:00"/>
    <s v="C93175"/>
    <x v="0"/>
    <n v="4"/>
    <n v="14.69"/>
    <s v="814 Main St"/>
    <s v="Cash"/>
    <s v="Cancelled"/>
    <s v="TRK32995144"/>
    <n v="9"/>
    <m/>
    <s v="Email"/>
    <n v="58.76"/>
  </r>
  <r>
    <s v="ORD200252"/>
    <d v="2025-05-01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5-05-02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5-05-03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5-05-04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5-05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5-05-06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5-05-07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5-05-08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5-05-09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10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5-05-11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5-05-12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5-05-1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5-05-14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5-05-15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5-16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5-05-17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5-05-18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5-05-19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5-05-20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5-05-21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5-05-22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5-05-23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5-05-2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5-25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5-05-26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5-05-27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5-05-28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5-05-29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5-05-30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5-31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6-01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5-06-02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03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6-04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5-06-05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5-06-06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5-06-07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5-06-08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5-06-09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6-10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5-06-11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6-12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5-06-13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5-06-14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5-06-15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5-06-16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5-06-17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5-06-18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5-06-19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5-06-20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5-06-21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5-06-22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5-06-23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5-06-24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5-06-25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5-06-26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5-06-27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5-06-28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6-29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6-30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5-07-01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5-07-02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7-03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5-07-04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5-07-05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5-07-06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5-07-07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5-07-08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5-07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5-07-10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7-11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5-07-12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5-07-13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5-07-14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5-07-1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5-07-16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5-07-17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5-07-18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5-07-19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5-07-20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5-07-21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5-07-22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7-2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5-07-24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5-07-25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5-07-26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5-07-27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5-07-28T00:00:00"/>
    <s v="C76207"/>
    <x v="5"/>
    <n v="5"/>
    <n v="521.25"/>
    <s v="826 Main St"/>
    <s v="Cash"/>
    <s v="Cancelled"/>
    <s v="TRK25569378"/>
    <n v="8"/>
    <m/>
    <s v="Email"/>
    <n v="2606.25"/>
  </r>
  <r>
    <s v="ORD200341"/>
    <d v="2025-07-29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7-30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5-07-31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8-01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5-08-02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5-08-03T00:00:00"/>
    <s v="C31764"/>
    <x v="2"/>
    <n v="1"/>
    <n v="655.09"/>
    <s v="876 Main St"/>
    <s v="Cash"/>
    <s v="Pending"/>
    <s v="TRK44680433"/>
    <n v="6"/>
    <m/>
    <s v="Referral"/>
    <n v="655.09"/>
  </r>
  <r>
    <s v="ORD200347"/>
    <d v="2025-08-04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5-08-05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5-08-06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5-08-07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8-08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5-08-09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8-10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5-08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8-12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5-08-13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5-08-14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5-08-15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5-08-16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5-08-17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5-08-18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5-08-19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5-08-20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5-08-21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8-22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5-08-23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5-08-24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5-08-25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5-08-26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8-27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5-08-28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8-29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5-08-30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5-08-31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9-01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5-09-02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5-09-03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5-09-04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5-09-05T00:00:00"/>
    <s v="C47284"/>
    <x v="1"/>
    <n v="3"/>
    <n v="297.67"/>
    <s v="500 Main St"/>
    <s v="Online"/>
    <s v="Shipped"/>
    <s v="TRK85756094"/>
    <n v="6"/>
    <m/>
    <s v="Google"/>
    <n v="893.01"/>
  </r>
  <r>
    <s v="ORD200380"/>
    <d v="2025-09-06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5-09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9-08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5-09-09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5-09-10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5-09-1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5-09-12T00:00:00"/>
    <s v="C12421"/>
    <x v="2"/>
    <n v="1"/>
    <n v="93.02"/>
    <s v="373 Main St"/>
    <s v="Online"/>
    <s v="Returned"/>
    <s v="TRK32588504"/>
    <n v="4"/>
    <m/>
    <s v="Email"/>
    <n v="93.02"/>
  </r>
  <r>
    <s v="ORD200387"/>
    <d v="2025-09-13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5-09-14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5-09-15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5-09-16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9-17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5-09-1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5-09-19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5-09-20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9-21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5-09-22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5-09-23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5-09-2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5-09-25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5-09-26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9-27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5-09-28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5-09-29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5-09-30T00:00:00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10-01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5-10-02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5-10-0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10-04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5-10-05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5-10-06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5-10-07T00:00:00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10-08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5-10-09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10-10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10-11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5-10-12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5-10-13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d v="2025-10-14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5-10-15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5-10-16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5-10-17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5-10-18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5-10-19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5-10-20T00:00:00"/>
    <s v="C49491"/>
    <x v="3"/>
    <n v="5"/>
    <n v="22.94"/>
    <s v="339 Main St"/>
    <s v="Cash"/>
    <s v="Pending"/>
    <s v="TRK64012257"/>
    <n v="10"/>
    <m/>
    <s v="Email"/>
    <n v="114.7"/>
  </r>
  <r>
    <s v="ORD200425"/>
    <d v="2025-10-21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10-22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5-10-23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5-10-24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5-10-25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5-10-26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5-10-27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5-10-28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5-10-29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5-10-30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5-10-31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5-11-0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d v="2025-11-02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1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5-11-04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5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5-11-06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5-11-07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5-11-08T00:00:00"/>
    <s v="C61668"/>
    <x v="3"/>
    <n v="2"/>
    <n v="69.64"/>
    <s v="813 Main St"/>
    <s v="Cash"/>
    <s v="Returned"/>
    <s v="TRK58970302"/>
    <n v="6"/>
    <m/>
    <s v="Facebook"/>
    <n v="139.28"/>
  </r>
  <r>
    <s v="ORD200444"/>
    <d v="2025-11-09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5-11-10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5-11-11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5-11-12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d v="2025-11-13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5-11-14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5-1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5-11-16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5-11-17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11-18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5-11-19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5-11-20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5-11-21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11-22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5-11-23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5-11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5-11-25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5-11-26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11-27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5-11-28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5-11-29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5-11-30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5-12-01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5-12-02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12-03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5-12-04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5-12-05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12-06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5-12-07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12-08T00:00:00"/>
    <s v="C28552"/>
    <x v="3"/>
    <n v="2"/>
    <n v="14.93"/>
    <s v="449 Main St"/>
    <s v="Online"/>
    <s v="Shipped"/>
    <s v="TRK71597160"/>
    <n v="4"/>
    <m/>
    <s v="Facebook"/>
    <n v="29.86"/>
  </r>
  <r>
    <s v="ORD200474"/>
    <d v="2025-12-09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12-10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5-12-11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12-12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5-12-13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5-12-14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5-12-15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5-12-16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12-17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5-12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5-12-1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d v="2025-12-20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5-12-21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5-12-22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5-12-23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5-12-24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5-12-25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5-12-26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5-12-27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12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5-12-2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12-30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12-31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6-01-01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6-01-0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6-01-03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6-01-04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6-01-05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6-01-06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6-01-07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6-01-08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6-01-09T00:00:00"/>
    <s v="C36014"/>
    <x v="4"/>
    <n v="2"/>
    <n v="434.97"/>
    <s v="558 Main St"/>
    <s v="Online"/>
    <s v="Shipped"/>
    <s v="TRK97246526"/>
    <n v="7"/>
    <m/>
    <s v="Email"/>
    <n v="869.94"/>
  </r>
  <r>
    <s v="ORD200506"/>
    <d v="2026-01-10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6-01-11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6-01-12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6-01-13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6-01-14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6-01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6-01-16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6-01-17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6-01-18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6-01-19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6-01-20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d v="2026-01-21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6-01-22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6-01-23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6-01-24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6-01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6-01-26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6-01-27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6-01-28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6-01-29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6-01-30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6-01-31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6-02-01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6-02-02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6-02-03T00:00:00"/>
    <s v="C98450"/>
    <x v="3"/>
    <n v="4"/>
    <n v="89.41"/>
    <s v="613 Main St"/>
    <s v="Online"/>
    <s v="Pending"/>
    <s v="TRK14809530"/>
    <n v="9"/>
    <m/>
    <s v="Google"/>
    <n v="357.64"/>
  </r>
  <r>
    <s v="ORD200531"/>
    <d v="2026-02-04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6-02-05T00:00:00"/>
    <s v="C47365"/>
    <x v="5"/>
    <n v="2"/>
    <n v="41"/>
    <s v="369 Main St"/>
    <s v="Online"/>
    <s v="Delivered"/>
    <s v="TRK42207882"/>
    <n v="7"/>
    <m/>
    <s v="Email"/>
    <n v="82"/>
  </r>
  <r>
    <s v="ORD200533"/>
    <d v="2026-02-06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6-02-07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6-02-08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6-02-09T00:00:00"/>
    <s v="C18724"/>
    <x v="3"/>
    <n v="1"/>
    <n v="616.1"/>
    <s v="124 Main St"/>
    <s v="Cash"/>
    <s v="Returned"/>
    <s v="TRK52508861"/>
    <n v="6"/>
    <m/>
    <s v="Email"/>
    <n v="616.1"/>
  </r>
  <r>
    <s v="ORD200537"/>
    <d v="2026-02-10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6-02-11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6-02-12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6-02-13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6-02-14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6-02-15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6-02-16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6-02-17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6-02-18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d v="2026-02-19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6-02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6-02-21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6-02-22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6-02-23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6-02-24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6-02-25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6-02-26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6-02-27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6-02-28T00:00:00"/>
    <s v="C88933"/>
    <x v="2"/>
    <n v="1"/>
    <n v="92.04"/>
    <s v="333 Main St"/>
    <s v="Cash"/>
    <s v="Shipped"/>
    <s v="TRK89306964"/>
    <n v="2"/>
    <m/>
    <s v="Facebook"/>
    <n v="92.04"/>
  </r>
  <r>
    <s v="ORD200556"/>
    <d v="2026-03-01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6-03-02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6-03-03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6-03-04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6-03-05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6-03-06T00:00:00"/>
    <s v="C96822"/>
    <x v="4"/>
    <n v="2"/>
    <n v="494.78"/>
    <s v="198 Main St"/>
    <s v="Online"/>
    <s v="Shipped"/>
    <s v="TRK89180077"/>
    <n v="2"/>
    <m/>
    <s v="Google"/>
    <n v="989.56"/>
  </r>
  <r>
    <s v="ORD200562"/>
    <d v="2026-03-07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6-03-08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6-03-09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6-03-10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6-03-11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6-03-12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6-03-13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6-03-14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6-03-15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6-03-16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6-03-17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6-03-18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6-03-19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6-03-20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6-03-21T00:00:00"/>
    <s v="C14457"/>
    <x v="5"/>
    <n v="5"/>
    <n v="79.08"/>
    <s v="747 Main St"/>
    <s v="Cash"/>
    <s v="Pending"/>
    <s v="TRK42517811"/>
    <n v="8"/>
    <m/>
    <s v="Facebook"/>
    <n v="395.4"/>
  </r>
  <r>
    <s v="ORD200577"/>
    <d v="2026-03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6-03-23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6-03-2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6-03-25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6-03-26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6-03-27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6-03-28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6-03-29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6-03-3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6-03-31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6-04-01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6-04-02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6-04-03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6-04-04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6-04-05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6-04-06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6-04-07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6-04-08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6-04-09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6-04-10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6-04-11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6-04-12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6-04-13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6-04-14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6-04-15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6-04-16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6-04-17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6-04-18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6-04-19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6-04-20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6-04-2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6-04-22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6-04-23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6-04-24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6-04-25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6-04-26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6-04-27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6-04-2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6-04-29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6-04-30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6-05-01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6-05-02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6-05-03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6-05-04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6-05-05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6-05-06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6-05-07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6-05-08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6-05-09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6-05-10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6-05-11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6-05-12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6-05-13T00:00:00"/>
    <s v="C50137"/>
    <x v="1"/>
    <n v="3"/>
    <n v="19.73"/>
    <s v="840 Main St"/>
    <s v="Online"/>
    <s v="Pending"/>
    <s v="TRK91836131"/>
    <n v="3"/>
    <m/>
    <s v="Referral"/>
    <n v="59.19"/>
  </r>
  <r>
    <s v="ORD200630"/>
    <d v="2026-05-14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6-05-15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6-05-16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6-05-17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6-05-18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6-05-19T00:00:00"/>
    <s v="C12818"/>
    <x v="3"/>
    <n v="3"/>
    <n v="63.68"/>
    <s v="434 Main St"/>
    <s v="Cash"/>
    <s v="Returned"/>
    <s v="TRK40879983"/>
    <n v="6"/>
    <m/>
    <s v="Facebook"/>
    <n v="191.04"/>
  </r>
  <r>
    <s v="ORD200636"/>
    <d v="2026-05-20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6-05-21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6-05-22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6-05-23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6-05-24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6-05-25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6-05-26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6-05-27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6-05-28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6-05-29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6-05-30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6-05-31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6-06-01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6-06-02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6-06-03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6-06-04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6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6-06-06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6-06-07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6-06-08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6-06-09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6-06-10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6-06-11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6-06-12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6-06-13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6-06-14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6-06-15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6-06-16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6-06-17T00:00:00"/>
    <s v="C14847"/>
    <x v="5"/>
    <n v="4"/>
    <n v="194.75"/>
    <s v="188 Main St"/>
    <s v="Cash"/>
    <s v="Shipped"/>
    <s v="TRK46492755"/>
    <n v="5"/>
    <m/>
    <s v="Facebook"/>
    <n v="779"/>
  </r>
  <r>
    <s v="ORD200665"/>
    <d v="2026-06-18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6-06-19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6-06-20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6-06-21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6-06-22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6-06-23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6-06-24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6-06-25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6-06-26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6-06-27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6-06-28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6-06-29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6-06-30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6-07-01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6-07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6-07-03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6-07-04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6-07-05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6-07-06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6-07-07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6-07-08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6-07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6-07-10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6-07-11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6-07-12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6-07-13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6-07-14T00:00:00"/>
    <s v="C36137"/>
    <x v="5"/>
    <n v="3"/>
    <n v="239.08"/>
    <s v="396 Main St"/>
    <s v="Cash"/>
    <s v="Shipped"/>
    <s v="TRK57376416"/>
    <n v="8"/>
    <m/>
    <s v="Google"/>
    <n v="717.24"/>
  </r>
  <r>
    <s v="ORD200692"/>
    <d v="2026-07-15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6-07-16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6-07-17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6-07-18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6-07-19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6-07-20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6-07-21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6-07-22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6-07-23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6-07-24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6-07-25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6-07-26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6-07-27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6-07-28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6-07-29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6-07-30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6-07-31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6-08-01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6-08-0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6-08-03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6-08-04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6-08-05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6-08-06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6-08-07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6-08-08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6-08-09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6-08-10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6-08-1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6-08-12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6-08-13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6-08-14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6-08-15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6-08-16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6-08-17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6-08-18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6-08-1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6-08-20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6-08-21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6-08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6-08-23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6-08-24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6-08-25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6-08-26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6-08-27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6-08-28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6-08-29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6-08-30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6-08-31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6-09-01T00:00:00"/>
    <s v="C10892"/>
    <x v="6"/>
    <n v="2"/>
    <n v="377.47"/>
    <s v="433 Main St"/>
    <s v="Cash"/>
    <s v="Pending"/>
    <s v="TRK76154554"/>
    <n v="7"/>
    <m/>
    <s v="Google"/>
    <n v="754.94"/>
  </r>
  <r>
    <s v="ORD200741"/>
    <d v="2026-09-02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6-09-03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6-09-04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6-09-05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6-09-06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6-09-07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6-09-08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6-09-09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6-09-10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6-09-11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6-09-12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6-09-1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6-09-1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6-09-15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6-09-16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6-09-1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6-09-18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6-09-19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6-09-20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6-09-21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6-09-2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6-09-23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6-09-24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6-09-25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6-09-2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6-09-27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6-09-2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6-09-29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6-09-30T00:00:00"/>
    <s v="C13366"/>
    <x v="4"/>
    <n v="4"/>
    <n v="678.55"/>
    <s v="568 Main St"/>
    <s v="Cash"/>
    <s v="Delivered"/>
    <s v="TRK98691410"/>
    <n v="5"/>
    <m/>
    <s v="Email"/>
    <n v="2714.2"/>
  </r>
  <r>
    <s v="ORD200770"/>
    <d v="2026-10-0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d v="2026-10-0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6-10-03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6-10-04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6-10-0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6-10-06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6-10-07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6-10-08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6-10-09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6-10-10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6-10-1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6-10-12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6-10-13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6-10-14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6-10-15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6-10-16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6-10-17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6-10-18T00:00:00"/>
    <s v="C18167"/>
    <x v="6"/>
    <n v="4"/>
    <n v="221.96"/>
    <s v="193 Main St"/>
    <s v="Cash"/>
    <s v="Delivered"/>
    <s v="TRK36841089"/>
    <n v="7"/>
    <m/>
    <s v="Google"/>
    <n v="887.84"/>
  </r>
  <r>
    <s v="ORD200788"/>
    <d v="2026-10-19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6-10-20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6-10-21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6-10-22T00:00:00"/>
    <s v="C49710"/>
    <x v="3"/>
    <n v="4"/>
    <n v="409.28"/>
    <s v="956 Main St"/>
    <s v="Cash"/>
    <s v="Pending"/>
    <s v="TRK92591237"/>
    <n v="8"/>
    <m/>
    <s v="Email"/>
    <n v="1637.12"/>
  </r>
  <r>
    <s v="ORD200792"/>
    <d v="2026-10-23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6-10-24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6-10-25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6-10-26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6-10-27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6-10-28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6-10-2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6-10-30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6-10-31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6-11-01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6-11-02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6-11-03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6-11-04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6-11-0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6-11-06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6-11-07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6-11-08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6-11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6-11-10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6-11-11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6-11-12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6-11-13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6-11-14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6-11-15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6-11-16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6-11-17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6-11-18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6-11-19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6-11-20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6-11-21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6-11-22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6-11-23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6-11-24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6-11-25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6-11-26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6-11-27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6-11-28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6-11-29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6-11-30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6-12-01T00:00:00"/>
    <s v="C20124"/>
    <x v="4"/>
    <n v="2"/>
    <n v="88.73"/>
    <s v="140 Main St"/>
    <s v="Online"/>
    <s v="Pending"/>
    <s v="TRK61346824"/>
    <n v="5"/>
    <m/>
    <s v="Google"/>
    <n v="177.46"/>
  </r>
  <r>
    <s v="ORD200832"/>
    <d v="2026-12-0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6-12-03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6-12-04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d v="2026-12-05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6-12-06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6-12-07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6-12-08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6-12-09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6-12-10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6-12-11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6-12-12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6-12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6-12-1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6-12-15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6-12-16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6-12-17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6-12-18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6-12-1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6-12-20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6-12-21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6-12-22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6-12-23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6-12-24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6-12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6-12-26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6-12-27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6-12-28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6-12-29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6-12-30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6-12-31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7-01-01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7-01-02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7-01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7-01-04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7-01-05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7-01-0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7-01-07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7-01-08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7-01-09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7-01-10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7-01-11T00:00:00"/>
    <s v="C59169"/>
    <x v="3"/>
    <n v="4"/>
    <n v="629.34"/>
    <s v="172 Main St"/>
    <s v="Cash"/>
    <s v="Shipped"/>
    <s v="TRK90883858"/>
    <n v="7"/>
    <m/>
    <s v="Email"/>
    <n v="2517.36"/>
  </r>
  <r>
    <s v="ORD200873"/>
    <d v="2027-01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7-01-13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7-01-14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7-01-15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7-01-16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7-01-17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7-01-1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7-01-19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7-01-20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7-01-21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7-01-22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7-01-23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7-01-24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7-01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7-01-26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7-01-27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7-01-28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7-01-29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7-01-30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7-01-31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7-02-0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7-02-02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7-02-03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7-02-04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7-02-05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7-02-06T00:00:00"/>
    <s v="C44619"/>
    <x v="0"/>
    <n v="3"/>
    <n v="158.37"/>
    <s v="742 Main St"/>
    <s v="Cash"/>
    <s v="Shipped"/>
    <s v="TRK66662528"/>
    <n v="6"/>
    <m/>
    <s v="Referral"/>
    <n v="475.11"/>
  </r>
  <r>
    <s v="ORD200899"/>
    <d v="2027-02-07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7-02-08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7-02-09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7-02-10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7-02-11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7-02-12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7-02-1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7-02-14T00:00:00"/>
    <s v="C49938"/>
    <x v="0"/>
    <n v="1"/>
    <n v="62.12"/>
    <s v="141 Main St"/>
    <s v="Cash"/>
    <s v="Returned"/>
    <s v="TRK80175572"/>
    <n v="2"/>
    <m/>
    <s v="Email"/>
    <n v="62.12"/>
  </r>
  <r>
    <s v="ORD200907"/>
    <d v="2027-02-15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7-02-1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7-02-1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7-02-18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7-02-19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7-02-20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7-02-21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7-02-22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7-02-23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7-02-24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7-02-25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7-02-26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7-02-2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7-02-28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7-03-01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7-03-02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7-03-03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7-03-04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7-03-05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7-03-06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7-03-07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7-03-08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7-03-09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7-03-10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7-03-1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7-03-12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7-03-13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7-03-14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7-03-15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7-03-16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7-03-17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7-03-18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7-03-19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7-03-20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7-03-21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7-03-22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7-03-23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7-03-24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7-03-25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7-03-26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7-03-2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7-03-28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7-03-2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d v="2027-03-30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7-03-31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7-04-01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7-04-02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7-04-03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7-04-04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7-04-05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7-04-06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7-04-07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7-04-08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7-04-09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7-04-10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7-04-11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7-04-12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7-04-13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7-04-14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7-04-15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7-04-1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7-04-17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7-04-18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7-04-19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7-04-20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7-04-21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7-04-22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7-04-23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7-04-24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7-04-25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7-04-26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7-04-27T00:00:00"/>
    <s v="C41508"/>
    <x v="4"/>
    <n v="4"/>
    <n v="107.49"/>
    <s v="993 Main St"/>
    <s v="Cash"/>
    <s v="Delivered"/>
    <s v="TRK61047536"/>
    <n v="5"/>
    <m/>
    <s v="Google"/>
    <n v="429.96"/>
  </r>
  <r>
    <s v="ORD200979"/>
    <d v="2027-04-28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7-04-29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7-04-30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7-05-01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7-05-02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7-05-03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7-05-04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7-05-05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7-05-06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7-05-07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7-05-08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7-05-0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7-05-10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7-05-11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7-05-12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7-05-13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7-05-14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7-05-15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7-05-16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7-05-17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7-05-18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7-05-19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7-05-20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7-05-21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7-05-22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7-05-23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7-05-24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7-05-25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7-05-26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7-05-27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7-05-28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7-05-29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7-05-30T00:00:00"/>
    <s v="C47823"/>
    <x v="1"/>
    <n v="2"/>
    <n v="478.36"/>
    <s v="654 Main St"/>
    <s v="Online"/>
    <s v="Shipped"/>
    <s v="TRK22271097"/>
    <n v="3"/>
    <m/>
    <s v="Google"/>
    <n v="956.72"/>
  </r>
  <r>
    <s v="ORD201012"/>
    <d v="2027-05-31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d v="2027-06-01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7-06-02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7-06-03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7-06-04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7-06-0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7-06-06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7-06-07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7-06-08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7-06-09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7-06-10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7-06-11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7-06-12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7-06-13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7-06-14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7-06-15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7-06-16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7-06-17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7-06-18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7-06-19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7-06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7-06-21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7-06-22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7-06-23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7-06-24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7-06-25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7-06-26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7-06-27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7-06-28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7-06-29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7-06-30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7-07-0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7-07-0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7-07-03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7-07-04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7-07-05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7-07-06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7-07-07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7-07-08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d v="2027-07-09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7-07-10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7-07-11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7-07-12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7-07-1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7-07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7-07-15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7-07-16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7-07-17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7-07-18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7-07-1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7-07-20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7-07-21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7-07-2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7-07-23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7-07-24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7-07-25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7-07-26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7-07-27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7-07-28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7-07-29T00:00:00"/>
    <s v="C94037"/>
    <x v="1"/>
    <n v="2"/>
    <n v="255.14"/>
    <s v="216 Main St"/>
    <s v="Cash"/>
    <s v="Shipped"/>
    <s v="TRK47536985"/>
    <n v="2"/>
    <m/>
    <s v="Google"/>
    <n v="510.28"/>
  </r>
  <r>
    <s v="ORD201072"/>
    <d v="2027-07-30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7-07-3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7-08-01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d v="2027-08-02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7-08-03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d v="2027-08-04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7-08-05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7-08-06T00:00:00"/>
    <s v="C89979"/>
    <x v="1"/>
    <n v="5"/>
    <n v="634"/>
    <s v="144 Main St"/>
    <s v="Gift Card"/>
    <s v="Delivered"/>
    <s v="TRK99055909"/>
    <n v="8"/>
    <m/>
    <s v="Email"/>
    <n v="3170"/>
  </r>
  <r>
    <s v="ORD201080"/>
    <d v="2027-08-07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7-08-08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7-08-09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7-08-10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7-08-11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7-08-12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7-08-1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7-08-14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7-08-15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7-08-16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7-08-17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7-08-1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7-08-19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7-08-20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7-08-21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7-08-22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7-08-2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7-08-24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7-08-25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7-08-26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7-08-2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7-08-2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7-08-29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7-08-30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7-08-31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7-09-01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7-09-0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7-09-03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7-09-04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7-09-05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7-09-06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7-09-07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7-09-08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7-09-0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d v="2027-09-10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7-09-11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d v="2027-09-12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7-09-13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7-09-1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7-09-15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7-09-16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7-09-17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7-09-18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7-09-19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7-09-20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7-09-21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7-09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7-09-23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7-09-24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7-09-25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7-09-2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7-09-27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7-09-28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7-09-2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7-09-30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7-10-01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7-10-02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7-10-03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7-10-04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7-10-05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7-10-06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7-10-07T00:00:00"/>
    <s v="C11998"/>
    <x v="3"/>
    <n v="3"/>
    <n v="498.66"/>
    <s v="382 Main St"/>
    <s v="Cash"/>
    <s v="Cancelled"/>
    <s v="TRK26707221"/>
    <n v="6"/>
    <m/>
    <s v="Email"/>
    <n v="1495.98"/>
  </r>
  <r>
    <s v="ORD201142"/>
    <d v="2027-10-08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7-10-09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7-10-10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7-10-11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7-10-12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7-10-13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7-10-14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7-10-1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7-10-16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7-10-17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d v="2027-10-18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7-10-19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7-10-20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7-10-21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7-10-22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7-10-23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7-10-24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7-10-25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7-10-26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7-10-27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7-10-28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7-10-29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7-10-30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7-10-31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7-11-0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7-11-02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7-11-03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7-11-04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7-11-05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7-11-06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7-11-07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7-11-08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7-11-09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7-11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7-11-11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7-11-12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7-11-13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7-11-14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7-11-15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7-11-16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7-11-17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7-11-18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7-11-19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7-11-20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7-11-21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7-11-22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7-11-23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7-11-24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7-11-25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7-11-26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7-11-27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7-11-28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7-11-2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7-11-3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7-12-01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7-12-02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7-12-03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7-12-04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  <r>
    <m/>
    <m/>
    <m/>
    <x v="7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E7206-35B9-45F5-A7E6-63E8FAFF935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numFmtId="164" showAll="0"/>
    <pivotField showAll="0"/>
    <pivotField axis="axisRow" dataField="1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853C15-3741-4E9E-9EDB-0F0C7941D02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showAll="0"/>
    <pivotField showAll="0"/>
    <pivotField axis="axisRow" showAll="0" sortType="de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F206F-220C-4693-827E-8BCD6C1B54E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F22" sqref="F22"/>
    </sheetView>
  </sheetViews>
  <sheetFormatPr defaultRowHeight="14.4" x14ac:dyDescent="0.3"/>
  <cols>
    <col min="1" max="1" width="11.44140625" customWidth="1"/>
    <col min="2" max="2" width="12" customWidth="1"/>
    <col min="3" max="3" width="12.21875" customWidth="1"/>
    <col min="6" max="6" width="12" customWidth="1"/>
    <col min="7" max="7" width="15.33203125" customWidth="1"/>
    <col min="8" max="8" width="15.88671875" customWidth="1"/>
    <col min="9" max="9" width="11.88671875" customWidth="1"/>
    <col min="10" max="10" width="15.109375" bestFit="1" customWidth="1"/>
    <col min="11" max="11" width="14.44140625" customWidth="1"/>
    <col min="12" max="12" width="12" bestFit="1" customWidth="1"/>
    <col min="13" max="13" width="13.44140625" bestFit="1" customWidth="1"/>
    <col min="14" max="14" width="10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45528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45529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45530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45531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45532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45533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45534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45535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45536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45537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45538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45539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45540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45541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45542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45543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45544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45545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45546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45547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45548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45549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45550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45551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45552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45553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45554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45556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45557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45558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45559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45560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45561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45562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45563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45564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45565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45566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45567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45568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45569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45570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45571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45572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45573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45574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45575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45576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45577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45578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45579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45580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45581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45582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45583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45584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45585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45586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45587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45588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45589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45590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45591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45592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45593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45594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45595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45596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45597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45598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45599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45600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45601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45602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45603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45604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45605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45606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45607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45608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45609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45610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45611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45612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45613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45614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45615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45616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45617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45618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45619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45620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45621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45622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45623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45624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45625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45626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45627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45628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45629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45630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45631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45632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45633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45634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45635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45636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45637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45638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45639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45640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45641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45642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45643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45644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45645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45646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45647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45648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45649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45650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45651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45652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45653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45654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45655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45656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45657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45658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45659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45660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45661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45662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45663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45664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45665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45666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45667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45668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45669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45670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45671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45672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45673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45674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45675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45676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45677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45678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45679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45680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45681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45682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45683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45684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45685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45686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45687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45688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45689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45690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45691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45692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45693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45694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45695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45696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45697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45698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45699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45700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45701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45702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45703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45704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45705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45706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45707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45708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45709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45710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45711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45712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45713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45714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45715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45716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45717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45718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45719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45720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45721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45722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45723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45724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45725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45726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45727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45728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45729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45730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45731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45732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45733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45734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45735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45736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45737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45738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45739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45740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45741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45742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45743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45744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45745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45746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45747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45748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45749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45750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45751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45752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45753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45754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45755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45756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45757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45758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45759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45760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45761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45762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45763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45764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45765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45766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45767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45768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45769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45770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45771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45772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45773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45774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45775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45776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45777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45778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45779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45780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45781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45782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45783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45784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45785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45786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45787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45788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45789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45790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45791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45792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45793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45794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45795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45796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45797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45798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45799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45800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45801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45802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45803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45804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45805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45806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45807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45808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45809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45810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45811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45812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45813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45814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45815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45816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45817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45818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45819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45820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45821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45822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45823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45824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45825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45826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45827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45828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45829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45830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45831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45832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45833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45834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45835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45836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45837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45838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45839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45840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45841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45842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45843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45844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45845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45846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45847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45848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45849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45850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45851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45852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45853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45854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45855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45856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45857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45858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45859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45860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45861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45862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45863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45864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45865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45866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45867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45868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45869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45870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45871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45872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45873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45874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45875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45876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45877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45878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45879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45880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45881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45882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45883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45884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45885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45886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45887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45888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45889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45890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45891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45892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45893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45894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45895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45896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45897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45898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45899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45900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45901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45902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45903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45904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45905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45906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45907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45908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45909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45910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45911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45912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45913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45914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45915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45916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45917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45918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45919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45920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45921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45922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45923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45924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45925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45926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45927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45928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45929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45930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45931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45932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45933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45934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45935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45936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45937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45938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45939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45940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45941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45942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45943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45944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45945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45946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45947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45948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45949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45950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45951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45952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45953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45954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45955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45956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45957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45958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45959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45960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45961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45962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45963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45964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45965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45966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45967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45968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45969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45970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45971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45972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45973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45974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45975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45976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45977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45978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45979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45980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45981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45982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45983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45984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45985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45986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45987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45988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45989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45990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45991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45992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45993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45994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45995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45996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45997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45998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45999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46000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46001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46002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46003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46004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46005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46006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46007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46008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46009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46010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46011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46012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46013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46014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46015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46016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46017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46018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46019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46020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46021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46022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46023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46024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46025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46026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46027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46028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46029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46030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46031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46032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46033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46034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46035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46036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46037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46038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46039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46040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46041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46042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46043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46044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46045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46046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46047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46048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46049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46050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46051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46052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46053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46054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46055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46056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46057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46058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46059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46060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46061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46062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46063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46064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46065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46066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46067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46068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46069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46070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46071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46072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46073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46074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46075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46076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46077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46078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46079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46080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46081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46082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46083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46084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46085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46086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46087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46088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46089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46090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46091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46092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46093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46094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46095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46096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46097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46098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46099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46100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46101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46102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46103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46104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46105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46106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46107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46108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46109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46110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46111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46112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46113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46114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46115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46116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46117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46118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46119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46120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46121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46122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46123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46124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46125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46126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46127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46128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46129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46130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46131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46132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46133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46134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46135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46136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46137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46138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46139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46140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46141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46142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46143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46144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46145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46146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46147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46148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46149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46150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46151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46152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46153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46154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46155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46156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46157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46158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46159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46160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46161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46162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46163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46164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46165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46166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46167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46168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46169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46170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46171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46172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46173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46174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46175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46176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46177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46178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46179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46180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46181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46182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46183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46184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46185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46186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46187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46188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46189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46190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46191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46192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46193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46194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46195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46196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46197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46198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46199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46200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46201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46202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46203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46204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46205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46206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46207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46208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46209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46210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46211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46212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46213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46214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46215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46216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46217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46218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46219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46220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46221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46222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46223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46224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46225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46226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46227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46228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46229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46230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46231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46232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46233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46234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46235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46236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46237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46238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46239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46240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46241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46242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46243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46244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46245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46246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46247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46248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46249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46250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46251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46252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46253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46254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46255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46256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46257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46258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46259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46260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46261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46262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46263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46264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46265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46266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46267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46268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46269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46270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46271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46272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46273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46274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46275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46276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46277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46278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46279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46280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46281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46282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46283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46284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46285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46286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46287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46288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46289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46290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46291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46292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46293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46294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46295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46296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46297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46298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46299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46300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46301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46302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46303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46304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46305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46306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46307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46308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46309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46310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46311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46312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46313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46314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46315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46316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46317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46318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46319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46320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46321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46322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46323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46324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46325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46326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46327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46328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46329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46330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46331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46332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46333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46334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46335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46336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46337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46338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46339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46340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46341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46342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46343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46344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46345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46346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46347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46348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46349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46350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46351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46352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46353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46354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46355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46356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46357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46358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46359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46360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46361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46362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46363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46364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46365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46366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46367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46368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46369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46370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46371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46372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46373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46374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46375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46376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46377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46378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46379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46380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46381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46382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46383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46384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46385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46386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46387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46388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46389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46390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46391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46392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46393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46394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46395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46396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46397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46398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46399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46400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46401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46402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46403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46404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46405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46406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46407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46408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46409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46410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46411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46412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46413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46414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46415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46416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46417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46418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46419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46420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46421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46422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46423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46424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46425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46426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46427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46428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46429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46430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46431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46432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46433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46434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46435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46436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46437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46438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46439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46440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46441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46442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46443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46444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46445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46446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46447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46448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46449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46450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46451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46452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46453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46454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46455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46456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46457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46458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46459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46460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46461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46462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46463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46464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46465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46466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46467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46468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46469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46470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46471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46472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46473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46474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46475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46476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46477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46478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46479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46480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46481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46482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46483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46484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46485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46486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46487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46488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46489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46490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46491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46492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46493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46494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46495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46496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46497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46498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46499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46500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46501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46502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46503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46504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46505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46506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46507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46508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46509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46510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46511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46512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46513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46514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46515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46516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46517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46518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46519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46520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46521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46522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46523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46524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46525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46526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46527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46528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46529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46530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46531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46532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46533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46534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46535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46536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46537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46538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46539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46540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46541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46542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46543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46544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46545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46546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46547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46548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46549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46550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46551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46552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46553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46554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46555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46556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46557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46558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46559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46560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46561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46562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46563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46564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46565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46566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46567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46568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46569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46570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46571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46572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46573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46574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46575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46576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46577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46578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46579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46580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46581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46582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46583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46584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46585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46586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46587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46588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46589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46590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46591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46592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46593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46594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46595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46596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46597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46598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46599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46600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46601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46602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46603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46604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46605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46606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46607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46608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46609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46610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46611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46612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46613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46614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46615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46616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46617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46618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46619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46620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46621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46622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46623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46624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46625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46626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46627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46628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46629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46630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46631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46632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46633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46634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46635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46636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46637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46638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46639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46640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46641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46642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46643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46644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46645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46646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46647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46648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46649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46650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46651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46652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46653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46654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46655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46656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46657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46658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46659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46660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46661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46662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46663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46664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46665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46666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46667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46668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46669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46670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46671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46672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46673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46674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46675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46676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46677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46678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46679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46680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46681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46682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46683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46684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46685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46686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46687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46688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46689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46690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46691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46692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46693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46694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46695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46696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46697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46698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46699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46700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46701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46702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46703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46704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46705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46706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46707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46708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46709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46710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46711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46712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46713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46714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46715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46716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46717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46718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46719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46720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46721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46722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46723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46724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46725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ECDE-C0D8-474B-8226-CDB79F9AA39B}">
  <dimension ref="A1:B7"/>
  <sheetViews>
    <sheetView workbookViewId="0">
      <selection activeCell="B7" sqref="B7"/>
    </sheetView>
  </sheetViews>
  <sheetFormatPr defaultRowHeight="14.4" x14ac:dyDescent="0.3"/>
  <cols>
    <col min="1" max="1" width="24.77734375" customWidth="1"/>
    <col min="2" max="2" width="29.21875" customWidth="1"/>
  </cols>
  <sheetData>
    <row r="1" spans="1:2" x14ac:dyDescent="0.3">
      <c r="A1" t="s">
        <v>4283</v>
      </c>
      <c r="B1" t="s">
        <v>4284</v>
      </c>
    </row>
    <row r="2" spans="1:2" x14ac:dyDescent="0.3">
      <c r="A2" t="s">
        <v>4285</v>
      </c>
      <c r="B2">
        <f>COUNT(Sheet1!N:N)</f>
        <v>1200</v>
      </c>
    </row>
    <row r="3" spans="1:2" x14ac:dyDescent="0.3">
      <c r="A3" t="s">
        <v>4287</v>
      </c>
      <c r="B3">
        <f>AVERAGE(Sheet1!N:N)</f>
        <v>1053.9683000000005</v>
      </c>
    </row>
    <row r="4" spans="1:2" x14ac:dyDescent="0.3">
      <c r="A4" t="s">
        <v>4286</v>
      </c>
      <c r="B4">
        <f>MEDIAN(Sheet1!N:N)</f>
        <v>823.61500000000001</v>
      </c>
    </row>
    <row r="6" spans="1:2" x14ac:dyDescent="0.3">
      <c r="A6" t="s">
        <v>4293</v>
      </c>
      <c r="B6">
        <f>MAX(Sheet1!N:N)</f>
        <v>3456.4</v>
      </c>
    </row>
    <row r="7" spans="1:2" x14ac:dyDescent="0.3">
      <c r="A7" t="s">
        <v>4294</v>
      </c>
      <c r="B7">
        <f>MIN(Sheet1!N:N)</f>
        <v>11.39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5E87-C9CA-4070-9B9C-5489D60D28D1}">
  <dimension ref="A3:B11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3" t="s">
        <v>4288</v>
      </c>
      <c r="B3" t="s">
        <v>4290</v>
      </c>
    </row>
    <row r="4" spans="1:2" x14ac:dyDescent="0.3">
      <c r="A4" s="4" t="s">
        <v>2407</v>
      </c>
      <c r="B4" s="5">
        <v>181</v>
      </c>
    </row>
    <row r="5" spans="1:2" x14ac:dyDescent="0.3">
      <c r="A5" s="4" t="s">
        <v>2405</v>
      </c>
      <c r="B5" s="5">
        <v>179</v>
      </c>
    </row>
    <row r="6" spans="1:2" x14ac:dyDescent="0.3">
      <c r="A6" s="4" t="s">
        <v>2406</v>
      </c>
      <c r="B6" s="5">
        <v>178</v>
      </c>
    </row>
    <row r="7" spans="1:2" x14ac:dyDescent="0.3">
      <c r="A7" s="4" t="s">
        <v>2408</v>
      </c>
      <c r="B7" s="5">
        <v>173</v>
      </c>
    </row>
    <row r="8" spans="1:2" x14ac:dyDescent="0.3">
      <c r="A8" s="4" t="s">
        <v>2409</v>
      </c>
      <c r="B8" s="5">
        <v>170</v>
      </c>
    </row>
    <row r="9" spans="1:2" x14ac:dyDescent="0.3">
      <c r="A9" s="4" t="s">
        <v>2403</v>
      </c>
      <c r="B9" s="5">
        <v>163</v>
      </c>
    </row>
    <row r="10" spans="1:2" x14ac:dyDescent="0.3">
      <c r="A10" s="4" t="s">
        <v>2404</v>
      </c>
      <c r="B10" s="5">
        <v>156</v>
      </c>
    </row>
    <row r="11" spans="1:2" x14ac:dyDescent="0.3">
      <c r="A11" s="4" t="s">
        <v>4289</v>
      </c>
      <c r="B11" s="5">
        <v>1200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2EC9-C931-4895-A94F-B5BA470567E0}">
  <dimension ref="A3:B11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3" t="s">
        <v>4288</v>
      </c>
      <c r="B3" t="s">
        <v>4291</v>
      </c>
    </row>
    <row r="4" spans="1:2" x14ac:dyDescent="0.3">
      <c r="A4" s="4" t="s">
        <v>2406</v>
      </c>
      <c r="B4" s="5">
        <v>195620.11000000002</v>
      </c>
    </row>
    <row r="5" spans="1:2" x14ac:dyDescent="0.3">
      <c r="A5" s="4" t="s">
        <v>2407</v>
      </c>
      <c r="B5" s="5">
        <v>195612.60999999996</v>
      </c>
    </row>
    <row r="6" spans="1:2" x14ac:dyDescent="0.3">
      <c r="A6" s="4" t="s">
        <v>2408</v>
      </c>
      <c r="B6" s="5">
        <v>192126.55999999994</v>
      </c>
    </row>
    <row r="7" spans="1:2" x14ac:dyDescent="0.3">
      <c r="A7" s="4" t="s">
        <v>2405</v>
      </c>
      <c r="B7" s="5">
        <v>186568.95000000007</v>
      </c>
    </row>
    <row r="8" spans="1:2" x14ac:dyDescent="0.3">
      <c r="A8" s="4" t="s">
        <v>2403</v>
      </c>
      <c r="B8" s="5">
        <v>175651.40999999997</v>
      </c>
    </row>
    <row r="9" spans="1:2" x14ac:dyDescent="0.3">
      <c r="A9" s="4" t="s">
        <v>2409</v>
      </c>
      <c r="B9" s="5">
        <v>167459.93</v>
      </c>
    </row>
    <row r="10" spans="1:2" x14ac:dyDescent="0.3">
      <c r="A10" s="4" t="s">
        <v>2404</v>
      </c>
      <c r="B10" s="5">
        <v>151722.39000000001</v>
      </c>
    </row>
    <row r="11" spans="1:2" x14ac:dyDescent="0.3">
      <c r="A11" s="4" t="s">
        <v>4289</v>
      </c>
      <c r="B11" s="5">
        <v>1264761.96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3E4E-F96A-4723-872B-29C5E75C9B09}">
  <dimension ref="A3:B11"/>
  <sheetViews>
    <sheetView workbookViewId="0">
      <selection activeCell="A13" sqref="A1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4288</v>
      </c>
      <c r="B3" t="s">
        <v>4292</v>
      </c>
    </row>
    <row r="4" spans="1:2" x14ac:dyDescent="0.3">
      <c r="A4" s="4" t="s">
        <v>2406</v>
      </c>
      <c r="B4" s="5">
        <v>562</v>
      </c>
    </row>
    <row r="5" spans="1:2" x14ac:dyDescent="0.3">
      <c r="A5" s="4" t="s">
        <v>2409</v>
      </c>
      <c r="B5" s="5">
        <v>508</v>
      </c>
    </row>
    <row r="6" spans="1:2" x14ac:dyDescent="0.3">
      <c r="A6" s="4" t="s">
        <v>2408</v>
      </c>
      <c r="B6" s="5">
        <v>535</v>
      </c>
    </row>
    <row r="7" spans="1:2" x14ac:dyDescent="0.3">
      <c r="A7" s="4" t="s">
        <v>2403</v>
      </c>
      <c r="B7" s="5">
        <v>480</v>
      </c>
    </row>
    <row r="8" spans="1:2" x14ac:dyDescent="0.3">
      <c r="A8" s="4" t="s">
        <v>2404</v>
      </c>
      <c r="B8" s="5">
        <v>411</v>
      </c>
    </row>
    <row r="9" spans="1:2" x14ac:dyDescent="0.3">
      <c r="A9" s="4" t="s">
        <v>2407</v>
      </c>
      <c r="B9" s="5">
        <v>542</v>
      </c>
    </row>
    <row r="10" spans="1:2" x14ac:dyDescent="0.3">
      <c r="A10" s="4" t="s">
        <v>2405</v>
      </c>
      <c r="B10" s="5">
        <v>497</v>
      </c>
    </row>
    <row r="11" spans="1:2" x14ac:dyDescent="0.3">
      <c r="A11" s="4" t="s">
        <v>4289</v>
      </c>
      <c r="B11" s="5">
        <v>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EDA_Report</vt:lpstr>
      <vt:lpstr>Count Of Product</vt:lpstr>
      <vt:lpstr>Sum Of Total Price</vt:lpstr>
      <vt:lpstr>Sum Of 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Ranjan</cp:lastModifiedBy>
  <dcterms:created xsi:type="dcterms:W3CDTF">2025-06-21T13:19:12Z</dcterms:created>
  <dcterms:modified xsi:type="dcterms:W3CDTF">2026-05-30T08:25:13Z</dcterms:modified>
</cp:coreProperties>
</file>